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Skillfort\SkillFortClass\DataAnalytics03\excel\"/>
    </mc:Choice>
  </mc:AlternateContent>
  <xr:revisionPtr revIDLastSave="0" documentId="8_{C0267006-6DAD-4AA8-91D8-C6E3FB9680FC}" xr6:coauthVersionLast="47" xr6:coauthVersionMax="47" xr10:uidLastSave="{00000000-0000-0000-0000-000000000000}"/>
  <bookViews>
    <workbookView xWindow="-110" yWindow="-110" windowWidth="19420" windowHeight="10300" activeTab="1" xr2:uid="{E2301BFF-3C28-4E78-80CD-E2B4C0098619}"/>
  </bookViews>
  <sheets>
    <sheet name="Dashboard" sheetId="3" r:id="rId1"/>
    <sheet name="pivot chart" sheetId="2" r:id="rId2"/>
    <sheet name="datasets" sheetId="1" r:id="rId3"/>
  </sheets>
  <definedNames>
    <definedName name="Slicer_Product">#N/A</definedName>
    <definedName name="Slicer_Region">#N/A</definedName>
    <definedName name="Slicer_Sales_Person">#N/A</definedName>
  </definedNames>
  <calcPr calcId="191029"/>
  <pivotCaches>
    <pivotCache cacheId="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12" i="1" l="1"/>
  <c r="K9" i="1"/>
  <c r="K6" i="1"/>
  <c r="K3"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alcChain>
</file>

<file path=xl/sharedStrings.xml><?xml version="1.0" encoding="utf-8"?>
<sst xmlns="http://schemas.openxmlformats.org/spreadsheetml/2006/main" count="2502" uniqueCount="312">
  <si>
    <t>Date</t>
  </si>
  <si>
    <t>Sales Person</t>
  </si>
  <si>
    <t>Region</t>
  </si>
  <si>
    <t>Product</t>
  </si>
  <si>
    <t>unitSold</t>
  </si>
  <si>
    <t>unitPrice</t>
  </si>
  <si>
    <t>cost of Goods</t>
  </si>
  <si>
    <t>Total Sales</t>
  </si>
  <si>
    <t>Profit</t>
  </si>
  <si>
    <t>24-11-2026</t>
  </si>
  <si>
    <t>Priya</t>
  </si>
  <si>
    <t>North</t>
  </si>
  <si>
    <t>Mouse</t>
  </si>
  <si>
    <t>25-04-2026</t>
  </si>
  <si>
    <t>Karthik</t>
  </si>
  <si>
    <t>Webcam</t>
  </si>
  <si>
    <t>30-10-2026</t>
  </si>
  <si>
    <t>Vignesh</t>
  </si>
  <si>
    <t>Laptop</t>
  </si>
  <si>
    <t>22-04-2026</t>
  </si>
  <si>
    <t>Divya</t>
  </si>
  <si>
    <t>29-11-2026</t>
  </si>
  <si>
    <t>South</t>
  </si>
  <si>
    <t>Tablet</t>
  </si>
  <si>
    <t>23-05-2026</t>
  </si>
  <si>
    <t>Arun</t>
  </si>
  <si>
    <t>Printer</t>
  </si>
  <si>
    <t>Headset</t>
  </si>
  <si>
    <t>17-02-2026</t>
  </si>
  <si>
    <t>06-11-2026</t>
  </si>
  <si>
    <t>Rahul</t>
  </si>
  <si>
    <t>05-03-2026</t>
  </si>
  <si>
    <t>18-11-2026</t>
  </si>
  <si>
    <t>Sneha</t>
  </si>
  <si>
    <t>Desktop</t>
  </si>
  <si>
    <t>05-12-2026</t>
  </si>
  <si>
    <t>East</t>
  </si>
  <si>
    <t>21-02-2026</t>
  </si>
  <si>
    <t>06-07-2026</t>
  </si>
  <si>
    <t>10-12-2026</t>
  </si>
  <si>
    <t>SSD</t>
  </si>
  <si>
    <t>29-03-2026</t>
  </si>
  <si>
    <t>19-05-2026</t>
  </si>
  <si>
    <t>17-01-2026</t>
  </si>
  <si>
    <t>West</t>
  </si>
  <si>
    <t>19-04-2026</t>
  </si>
  <si>
    <t>26-11-2026</t>
  </si>
  <si>
    <t>Meena</t>
  </si>
  <si>
    <t>07-05-2026</t>
  </si>
  <si>
    <t>05-07-2026</t>
  </si>
  <si>
    <t>16-02-2026</t>
  </si>
  <si>
    <t>Monitor</t>
  </si>
  <si>
    <t>23-03-2026</t>
  </si>
  <si>
    <t>02-11-2026</t>
  </si>
  <si>
    <t>15-12-2026</t>
  </si>
  <si>
    <t>31-05-2026</t>
  </si>
  <si>
    <t>15-05-2026</t>
  </si>
  <si>
    <t>17-09-2026</t>
  </si>
  <si>
    <t>24-03-2026</t>
  </si>
  <si>
    <t>27-02-2026</t>
  </si>
  <si>
    <t>Keyboard</t>
  </si>
  <si>
    <t>04-05-2026</t>
  </si>
  <si>
    <t>30-09-2026</t>
  </si>
  <si>
    <t>26-03-2026</t>
  </si>
  <si>
    <t>20-12-2026</t>
  </si>
  <si>
    <t>03-03-2026</t>
  </si>
  <si>
    <t>11-01-2026</t>
  </si>
  <si>
    <t>29-12-2026</t>
  </si>
  <si>
    <t>19-06-2026</t>
  </si>
  <si>
    <t>06-09-2026</t>
  </si>
  <si>
    <t>31-08-2026</t>
  </si>
  <si>
    <t>18-02-2026</t>
  </si>
  <si>
    <t>30-07-2026</t>
  </si>
  <si>
    <t>26-07-2026</t>
  </si>
  <si>
    <t>08-04-2026</t>
  </si>
  <si>
    <t>09-10-2026</t>
  </si>
  <si>
    <t>04-09-2026</t>
  </si>
  <si>
    <t>14-07-2026</t>
  </si>
  <si>
    <t>27-05-2026</t>
  </si>
  <si>
    <t>01-06-2026</t>
  </si>
  <si>
    <t>05-10-2026</t>
  </si>
  <si>
    <t>27-10-2026</t>
  </si>
  <si>
    <t>11-02-2026</t>
  </si>
  <si>
    <t>12-12-2026</t>
  </si>
  <si>
    <t>26-10-2026</t>
  </si>
  <si>
    <t>10-06-2026</t>
  </si>
  <si>
    <t>07-02-2026</t>
  </si>
  <si>
    <t>09-03-2026</t>
  </si>
  <si>
    <t>26-05-2026</t>
  </si>
  <si>
    <t>04-06-2026</t>
  </si>
  <si>
    <t>16-05-2026</t>
  </si>
  <si>
    <t>20-05-2026</t>
  </si>
  <si>
    <t>18-12-2026</t>
  </si>
  <si>
    <t>20-06-2026</t>
  </si>
  <si>
    <t>15-08-2026</t>
  </si>
  <si>
    <t>10-10-2026</t>
  </si>
  <si>
    <t>07-06-2026</t>
  </si>
  <si>
    <t>16-12-2026</t>
  </si>
  <si>
    <t>14-10-2026</t>
  </si>
  <si>
    <t>01-04-2026</t>
  </si>
  <si>
    <t>26-12-2026</t>
  </si>
  <si>
    <t>24-04-2026</t>
  </si>
  <si>
    <t>27-04-2026</t>
  </si>
  <si>
    <t>18-06-2026</t>
  </si>
  <si>
    <t>25-11-2026</t>
  </si>
  <si>
    <t>14-05-2026</t>
  </si>
  <si>
    <t>07-11-2026</t>
  </si>
  <si>
    <t>11-05-2026</t>
  </si>
  <si>
    <t>03-10-2026</t>
  </si>
  <si>
    <t>07-12-2026</t>
  </si>
  <si>
    <t>03-06-2026</t>
  </si>
  <si>
    <t>23-12-2026</t>
  </si>
  <si>
    <t>18-04-2026</t>
  </si>
  <si>
    <t>13-02-2026</t>
  </si>
  <si>
    <t>01-05-2026</t>
  </si>
  <si>
    <t>13-01-2026</t>
  </si>
  <si>
    <t>17-03-2026</t>
  </si>
  <si>
    <t>04-03-2026</t>
  </si>
  <si>
    <t>29-09-2026</t>
  </si>
  <si>
    <t>16-09-2026</t>
  </si>
  <si>
    <t>01-09-2026</t>
  </si>
  <si>
    <t>22-05-2026</t>
  </si>
  <si>
    <t>09-02-2026</t>
  </si>
  <si>
    <t>13-06-2026</t>
  </si>
  <si>
    <t>16-07-2026</t>
  </si>
  <si>
    <t>28-07-2026</t>
  </si>
  <si>
    <t>16-04-2026</t>
  </si>
  <si>
    <t>02-06-2026</t>
  </si>
  <si>
    <t>07-10-2026</t>
  </si>
  <si>
    <t>12-08-2026</t>
  </si>
  <si>
    <t>09-12-2026</t>
  </si>
  <si>
    <t>15-11-2026</t>
  </si>
  <si>
    <t>06-12-2026</t>
  </si>
  <si>
    <t>25-08-2026</t>
  </si>
  <si>
    <t>17-06-2026</t>
  </si>
  <si>
    <t>29-08-2026</t>
  </si>
  <si>
    <t>13-04-2026</t>
  </si>
  <si>
    <t>12-05-2026</t>
  </si>
  <si>
    <t>28-02-2026</t>
  </si>
  <si>
    <t>14-01-2026</t>
  </si>
  <si>
    <t>12-04-2026</t>
  </si>
  <si>
    <t>08-08-2026</t>
  </si>
  <si>
    <t>24-06-2026</t>
  </si>
  <si>
    <t>10-08-2026</t>
  </si>
  <si>
    <t>31-10-2026</t>
  </si>
  <si>
    <t>09-11-2026</t>
  </si>
  <si>
    <t>16-06-2026</t>
  </si>
  <si>
    <t>13-05-2026</t>
  </si>
  <si>
    <t>31-12-2026</t>
  </si>
  <si>
    <t>26-06-2026</t>
  </si>
  <si>
    <t>21-08-2026</t>
  </si>
  <si>
    <t>02-10-2026</t>
  </si>
  <si>
    <t>05-09-2026</t>
  </si>
  <si>
    <t>08-01-2026</t>
  </si>
  <si>
    <t>11-10-2026</t>
  </si>
  <si>
    <t>07-01-2026</t>
  </si>
  <si>
    <t>23-10-2026</t>
  </si>
  <si>
    <t>05-06-2026</t>
  </si>
  <si>
    <t>02-08-2026</t>
  </si>
  <si>
    <t>31-01-2026</t>
  </si>
  <si>
    <t>19-08-2026</t>
  </si>
  <si>
    <t>28-05-2026</t>
  </si>
  <si>
    <t>30-04-2026</t>
  </si>
  <si>
    <t>06-10-2026</t>
  </si>
  <si>
    <t>06-02-2026</t>
  </si>
  <si>
    <t>19-10-2026</t>
  </si>
  <si>
    <t>19-12-2026</t>
  </si>
  <si>
    <t>04-10-2026</t>
  </si>
  <si>
    <t>21-01-2026</t>
  </si>
  <si>
    <t>23-09-2026</t>
  </si>
  <si>
    <t>29-07-2026</t>
  </si>
  <si>
    <t>25-07-2026</t>
  </si>
  <si>
    <t>10-05-2026</t>
  </si>
  <si>
    <t>01-01-2026</t>
  </si>
  <si>
    <t>27-01-2026</t>
  </si>
  <si>
    <t>19-11-2026</t>
  </si>
  <si>
    <t>30-05-2026</t>
  </si>
  <si>
    <t>05-05-2026</t>
  </si>
  <si>
    <t>03-11-2026</t>
  </si>
  <si>
    <t>01-08-2026</t>
  </si>
  <si>
    <t>24-12-2026</t>
  </si>
  <si>
    <t>15-07-2026</t>
  </si>
  <si>
    <t>06-03-2026</t>
  </si>
  <si>
    <t>27-09-2026</t>
  </si>
  <si>
    <t>02-12-2026</t>
  </si>
  <si>
    <t>23-06-2026</t>
  </si>
  <si>
    <t>01-10-2026</t>
  </si>
  <si>
    <t>19-01-2026</t>
  </si>
  <si>
    <t>27-03-2026</t>
  </si>
  <si>
    <t>29-01-2026</t>
  </si>
  <si>
    <t>16-03-2026</t>
  </si>
  <si>
    <t>03-04-2026</t>
  </si>
  <si>
    <t>29-04-2026</t>
  </si>
  <si>
    <t>08-12-2026</t>
  </si>
  <si>
    <t>28-10-2026</t>
  </si>
  <si>
    <t>02-05-2026</t>
  </si>
  <si>
    <t>25-12-2026</t>
  </si>
  <si>
    <t>05-01-2026</t>
  </si>
  <si>
    <t>28-04-2026</t>
  </si>
  <si>
    <t>09-05-2026</t>
  </si>
  <si>
    <t>14-08-2026</t>
  </si>
  <si>
    <t>08-02-2026</t>
  </si>
  <si>
    <t>07-07-2026</t>
  </si>
  <si>
    <t>11-12-2026</t>
  </si>
  <si>
    <t>15-10-2026</t>
  </si>
  <si>
    <t>26-08-2026</t>
  </si>
  <si>
    <t>24-01-2026</t>
  </si>
  <si>
    <t>19-02-2026</t>
  </si>
  <si>
    <t>09-07-2026</t>
  </si>
  <si>
    <t>20-02-2026</t>
  </si>
  <si>
    <t>27-11-2026</t>
  </si>
  <si>
    <t>29-10-2026</t>
  </si>
  <si>
    <t>02-02-2026</t>
  </si>
  <si>
    <t>11-11-2026</t>
  </si>
  <si>
    <t>16-01-2026</t>
  </si>
  <si>
    <t>21-05-2026</t>
  </si>
  <si>
    <t>31-07-2026</t>
  </si>
  <si>
    <t>10-07-2026</t>
  </si>
  <si>
    <t>09-06-2026</t>
  </si>
  <si>
    <t>29-06-2026</t>
  </si>
  <si>
    <t>26-04-2026</t>
  </si>
  <si>
    <t>22-12-2026</t>
  </si>
  <si>
    <t>21-11-2026</t>
  </si>
  <si>
    <t>12-07-2026</t>
  </si>
  <si>
    <t>13-11-2026</t>
  </si>
  <si>
    <t>14-12-2026</t>
  </si>
  <si>
    <t>22-07-2026</t>
  </si>
  <si>
    <t>08-03-2026</t>
  </si>
  <si>
    <t>22-01-2026</t>
  </si>
  <si>
    <t>24-02-2026</t>
  </si>
  <si>
    <t>26-09-2026</t>
  </si>
  <si>
    <t>19-09-2026</t>
  </si>
  <si>
    <t>16-10-2026</t>
  </si>
  <si>
    <t>30-01-2026</t>
  </si>
  <si>
    <t>25-06-2026</t>
  </si>
  <si>
    <t>18-07-2026</t>
  </si>
  <si>
    <t>20-11-2026</t>
  </si>
  <si>
    <t>13-10-2026</t>
  </si>
  <si>
    <t>03-12-2026</t>
  </si>
  <si>
    <t>10-01-2026</t>
  </si>
  <si>
    <t>21-03-2026</t>
  </si>
  <si>
    <t>21-12-2026</t>
  </si>
  <si>
    <t>18-08-2026</t>
  </si>
  <si>
    <t>10-04-2026</t>
  </si>
  <si>
    <t>25-05-2026</t>
  </si>
  <si>
    <t>20-09-2026</t>
  </si>
  <si>
    <t>11-07-2026</t>
  </si>
  <si>
    <t>12-11-2026</t>
  </si>
  <si>
    <t>21-04-2026</t>
  </si>
  <si>
    <t>03-05-2026</t>
  </si>
  <si>
    <t>13-09-2026</t>
  </si>
  <si>
    <t>04-02-2026</t>
  </si>
  <si>
    <t>22-11-2026</t>
  </si>
  <si>
    <t>09-01-2026</t>
  </si>
  <si>
    <t>30-06-2026</t>
  </si>
  <si>
    <t>03-09-2026</t>
  </si>
  <si>
    <t>23-08-2026</t>
  </si>
  <si>
    <t>23-07-2026</t>
  </si>
  <si>
    <t>28-11-2026</t>
  </si>
  <si>
    <t>25-01-2026</t>
  </si>
  <si>
    <t>06-04-2026</t>
  </si>
  <si>
    <t>17-05-2026</t>
  </si>
  <si>
    <t>05-11-2026</t>
  </si>
  <si>
    <t>10-02-2026</t>
  </si>
  <si>
    <t>17-08-2026</t>
  </si>
  <si>
    <t>16-08-2026</t>
  </si>
  <si>
    <t>03-02-2026</t>
  </si>
  <si>
    <t>30-12-2026</t>
  </si>
  <si>
    <t>20-03-2026</t>
  </si>
  <si>
    <t>15-01-2026</t>
  </si>
  <si>
    <t>30-11-2026</t>
  </si>
  <si>
    <t>06-05-2026</t>
  </si>
  <si>
    <t>15-03-2026</t>
  </si>
  <si>
    <t>27-08-2026</t>
  </si>
  <si>
    <t>14-03-2026</t>
  </si>
  <si>
    <t>21-09-2026</t>
  </si>
  <si>
    <t>12-01-2026</t>
  </si>
  <si>
    <t>16-11-2026</t>
  </si>
  <si>
    <t>12-03-2026</t>
  </si>
  <si>
    <t>18-03-2026</t>
  </si>
  <si>
    <t>25-03-2026</t>
  </si>
  <si>
    <t>08-07-2026</t>
  </si>
  <si>
    <t>24-10-2026</t>
  </si>
  <si>
    <t>21-10-2026</t>
  </si>
  <si>
    <t>15-04-2026</t>
  </si>
  <si>
    <t>09-04-2026</t>
  </si>
  <si>
    <t>27-12-2026</t>
  </si>
  <si>
    <t>13-12-2026</t>
  </si>
  <si>
    <t>29-05-2026</t>
  </si>
  <si>
    <t>22-06-2026</t>
  </si>
  <si>
    <t>14-02-2026</t>
  </si>
  <si>
    <t>02-09-2026</t>
  </si>
  <si>
    <t>24-09-2026</t>
  </si>
  <si>
    <t>22-08-2026</t>
  </si>
  <si>
    <t>11-03-2026</t>
  </si>
  <si>
    <t>13-07-2026</t>
  </si>
  <si>
    <t>01-12-2026</t>
  </si>
  <si>
    <t>21-07-2026</t>
  </si>
  <si>
    <t>27-06-2026</t>
  </si>
  <si>
    <t>01-11-2026</t>
  </si>
  <si>
    <t>13-08-2026</t>
  </si>
  <si>
    <t>15-09-2026</t>
  </si>
  <si>
    <t>01-02-2026</t>
  </si>
  <si>
    <t>02-03-2026</t>
  </si>
  <si>
    <t>03-07-2026</t>
  </si>
  <si>
    <t>12-09-2026</t>
  </si>
  <si>
    <t>Grand Total</t>
  </si>
  <si>
    <t>unit Sold</t>
  </si>
  <si>
    <t>Average Sale</t>
  </si>
  <si>
    <t>Row Labels</t>
  </si>
  <si>
    <t>Sum of Total Sales</t>
  </si>
  <si>
    <t>Sum of unitSold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</si>
</sst>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quot;\ #,##0"/>
  </numFmts>
  <fonts count="3">
    <font>
      <sz val="11"/>
      <color theme="1"/>
      <name val="Aptos Narrow"/>
      <family val="2"/>
      <scheme val="minor"/>
    </font>
    <font>
      <b/>
      <sz val="11"/>
      <color indexed="8"/>
      <name val="Calibri"/>
      <charset val="134"/>
    </font>
    <font>
      <sz val="11"/>
      <color indexed="8"/>
      <name val="Calibri"/>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1" fillId="0" borderId="0" xfId="0" applyFont="1" applyAlignment="1">
      <alignment horizontal="center" vertical="top"/>
    </xf>
    <xf numFmtId="0" fontId="2" fillId="0" borderId="0" xfId="0" applyFont="1"/>
    <xf numFmtId="3" fontId="0" fillId="0" borderId="0" xfId="0" applyNumberFormat="1"/>
    <xf numFmtId="0" fontId="0" fillId="0" borderId="0" xfId="0" pivotButton="1"/>
    <xf numFmtId="0" fontId="0" fillId="0" borderId="0" xfId="0" applyAlignment="1">
      <alignment horizontal="left"/>
    </xf>
    <xf numFmtId="0" fontId="0" fillId="0" borderId="0" xfId="0" applyNumberFormat="1"/>
    <xf numFmtId="168" fontId="0" fillId="0" borderId="0" xfId="0" applyNumberFormat="1"/>
  </cellXfs>
  <cellStyles count="1">
    <cellStyle name="Normal" xfId="0" builtinId="0"/>
  </cellStyles>
  <dxfs count="36">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
      <numFmt numFmtId="167" formatCode="&quot;₹&quot;\ #,##0.0"/>
    </dxf>
    <dxf>
      <numFmt numFmtId="168" formatCode="&quot;₹&quot;\ #,##0"/>
    </dxf>
    <dxf>
      <numFmt numFmtId="167" formatCode="&quot;₹&quot;\ #,##0.0"/>
    </dxf>
    <dxf>
      <numFmt numFmtId="166" formatCode="&quot;₹&quot;\ #,##0.00"/>
    </dxf>
    <dxf>
      <numFmt numFmtId="166" formatCode="&quot;₹&quot;\ #,##0.00"/>
    </dxf>
    <dxf>
      <numFmt numFmtId="167" formatCode="&quot;₹&quot;\ #,##0.0"/>
    </dxf>
    <dxf>
      <numFmt numFmtId="168" formatCode="&quot;₹&quot;\ #,##0"/>
    </dxf>
    <dxf>
      <numFmt numFmtId="167" formatCode="&quot;₹&quot;\ #,##0.0"/>
    </dxf>
    <dxf>
      <numFmt numFmtId="166" formatCode="&quot;₹&quot;\ #,##0.00"/>
    </dxf>
    <dxf>
      <numFmt numFmtId="166" formatCode="&quot;₹&quot;\ #,##0.00"/>
    </dxf>
    <dxf>
      <numFmt numFmtId="167" formatCode="&quot;₹&quot;\ #,##0.0"/>
    </dxf>
    <dxf>
      <numFmt numFmtId="168" formatCode="&quot;₹&quot;\ #,##0"/>
    </dxf>
    <dxf>
      <numFmt numFmtId="167" formatCode="&quot;₹&quot;\ #,##0.0"/>
    </dxf>
    <dxf>
      <numFmt numFmtId="166" formatCode="&quot;₹&quot;\ #,##0.00"/>
    </dxf>
    <dxf>
      <numFmt numFmtId="166" formatCode="&quot;₹&quot;\ #,##0.00"/>
    </dxf>
    <dxf>
      <numFmt numFmtId="167" formatCode="&quot;₹&quot;\ #,##0.0"/>
    </dxf>
    <dxf>
      <numFmt numFmtId="166" formatCode="&quot;₹&quot;\ #,##0.0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fill>
        <patternFill patternType="none">
          <fgColor indexed="64"/>
          <bgColor indexed="65"/>
        </patternFill>
      </fill>
      <alignment horizontal="general" vertical="bottom" textRotation="0" wrapText="0" indent="0" justifyLastLine="0" shrinkToFit="0" readingOrder="0"/>
      <protection locked="1" hidden="0"/>
    </dxf>
    <dxf>
      <font>
        <b/>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center" vertical="top" textRotation="0" wrapText="0" indent="0" justifyLastLine="0" shrinkToFit="0" readingOrder="0"/>
      <border diagonalUp="0" diagonalDown="0" outline="0">
        <left style="thin">
          <color auto="1"/>
        </left>
        <right style="thin">
          <color auto="1"/>
        </right>
        <top/>
        <bottom/>
      </border>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[classchart.xlsx]pivot chart!PivotTable1</c:name>
    <c:fmtId val="0"/>
  </c:pivotSource>
  <c:chart>
    <c:autoTitleDeleted val="1"/>
    <c:pivotFmts>
      <c:pivotFmt>
        <c:idx val="0"/>
        <c:spPr>
          <a:solidFill>
            <a:schemeClr val="accent1"/>
          </a:solidFill>
          <a:ln>
            <a:no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chart'!$B$3</c:f>
              <c:strCache>
                <c:ptCount val="1"/>
                <c:pt idx="0">
                  <c:v>Total</c:v>
                </c:pt>
              </c:strCache>
            </c:strRef>
          </c:tx>
          <c:spPr>
            <a:solidFill>
              <a:schemeClr val="accent1"/>
            </a:solidFill>
            <a:ln>
              <a:noFill/>
            </a:ln>
            <a:effectLst/>
          </c:spPr>
          <c:invertIfNegative val="0"/>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chart'!$A$4:$A$12</c:f>
              <c:strCache>
                <c:ptCount val="8"/>
                <c:pt idx="0">
                  <c:v>Arun</c:v>
                </c:pt>
                <c:pt idx="1">
                  <c:v>Divya</c:v>
                </c:pt>
                <c:pt idx="2">
                  <c:v>Karthik</c:v>
                </c:pt>
                <c:pt idx="3">
                  <c:v>Meena</c:v>
                </c:pt>
                <c:pt idx="4">
                  <c:v>Priya</c:v>
                </c:pt>
                <c:pt idx="5">
                  <c:v>Rahul</c:v>
                </c:pt>
                <c:pt idx="6">
                  <c:v>Sneha</c:v>
                </c:pt>
                <c:pt idx="7">
                  <c:v>Vignesh</c:v>
                </c:pt>
              </c:strCache>
            </c:strRef>
          </c:cat>
          <c:val>
            <c:numRef>
              <c:f>'pivot chart'!$B$4:$B$12</c:f>
              <c:numCache>
                <c:formatCode>"₹"\ #,##0</c:formatCode>
                <c:ptCount val="8"/>
                <c:pt idx="0">
                  <c:v>18500000</c:v>
                </c:pt>
                <c:pt idx="1">
                  <c:v>24597300</c:v>
                </c:pt>
                <c:pt idx="2">
                  <c:v>28791000</c:v>
                </c:pt>
                <c:pt idx="3">
                  <c:v>24446500</c:v>
                </c:pt>
                <c:pt idx="4">
                  <c:v>29011500</c:v>
                </c:pt>
                <c:pt idx="5">
                  <c:v>25721700</c:v>
                </c:pt>
                <c:pt idx="6">
                  <c:v>28158900</c:v>
                </c:pt>
                <c:pt idx="7">
                  <c:v>28898800</c:v>
                </c:pt>
              </c:numCache>
            </c:numRef>
          </c:val>
          <c:extLst>
            <c:ext xmlns:c16="http://schemas.microsoft.com/office/drawing/2014/chart" uri="{C3380CC4-5D6E-409C-BE32-E72D297353CC}">
              <c16:uniqueId val="{00000000-B880-4ED6-8A13-DB74C25F6C9D}"/>
            </c:ext>
          </c:extLst>
        </c:ser>
        <c:dLbls>
          <c:dLblPos val="inEnd"/>
          <c:showLegendKey val="0"/>
          <c:showVal val="1"/>
          <c:showCatName val="0"/>
          <c:showSerName val="0"/>
          <c:showPercent val="0"/>
          <c:showBubbleSize val="0"/>
        </c:dLbls>
        <c:gapWidth val="150"/>
        <c:overlap val="100"/>
        <c:axId val="904707152"/>
        <c:axId val="904706672"/>
      </c:barChart>
      <c:catAx>
        <c:axId val="9047071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706672"/>
        <c:crosses val="autoZero"/>
        <c:auto val="1"/>
        <c:lblAlgn val="ctr"/>
        <c:lblOffset val="100"/>
        <c:noMultiLvlLbl val="0"/>
      </c:catAx>
      <c:valAx>
        <c:axId val="904706672"/>
        <c:scaling>
          <c:orientation val="minMax"/>
        </c:scaling>
        <c:delete val="1"/>
        <c:axPos val="l"/>
        <c:numFmt formatCode="&quot;₹&quot;\ #,##0" sourceLinked="1"/>
        <c:majorTickMark val="out"/>
        <c:minorTickMark val="none"/>
        <c:tickLblPos val="nextTo"/>
        <c:crossAx val="904707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[classchart.xlsx]pivot chart!PivotTable2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777777777777757"/>
              <c:y val="-0.111111111111111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0.163888888888889"/>
              <c:y val="4.16666666666665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5833333333333313"/>
              <c:y val="-6.48148148148148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8.8888888888888892E-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dLbl>
          <c:idx val="0"/>
          <c:layout>
            <c:manualLayout>
              <c:x val="-0.14722222222222223"/>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0.14722222222222225"/>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schemeClr>
          </a:solidFill>
          <a:ln w="19050">
            <a:solidFill>
              <a:schemeClr val="lt1"/>
            </a:solidFill>
          </a:ln>
          <a:effectLst/>
        </c:spPr>
        <c:dLbl>
          <c:idx val="0"/>
          <c:layout>
            <c:manualLayout>
              <c:x val="-0.1833333333333333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60000"/>
            </a:schemeClr>
          </a:solidFill>
          <a:ln w="19050">
            <a:solidFill>
              <a:schemeClr val="lt1"/>
            </a:solidFill>
          </a:ln>
          <a:effectLst/>
        </c:spPr>
        <c:dLbl>
          <c:idx val="0"/>
          <c:layout>
            <c:manualLayout>
              <c:x val="-0.1361111111111111"/>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60000"/>
            </a:schemeClr>
          </a:solidFill>
          <a:ln w="19050">
            <a:solidFill>
              <a:schemeClr val="lt1"/>
            </a:solidFill>
          </a:ln>
          <a:effectLst/>
        </c:spPr>
        <c:dLbl>
          <c:idx val="0"/>
          <c:layout>
            <c:manualLayout>
              <c:x val="-0.14722222222222225"/>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60000"/>
            </a:schemeClr>
          </a:solidFill>
          <a:ln w="19050">
            <a:solidFill>
              <a:schemeClr val="lt1"/>
            </a:solidFill>
          </a:ln>
          <a:effectLst/>
        </c:spPr>
        <c:dLbl>
          <c:idx val="0"/>
          <c:layout>
            <c:manualLayout>
              <c:x val="-8.3333333333333835E-3"/>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3888888888889"/>
          <c:y val="8.564814814814814E-2"/>
          <c:w val="0.46388888888888891"/>
          <c:h val="0.77314814814814814"/>
        </c:manualLayout>
      </c:layout>
      <c:doughnutChart>
        <c:varyColors val="1"/>
        <c:ser>
          <c:idx val="0"/>
          <c:order val="0"/>
          <c:tx>
            <c:strRef>
              <c:f>'pivot chart'!$E$3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4F8-497E-98C0-0392EAA64D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84F8-497E-98C0-0392EAA64DD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84F8-497E-98C0-0392EAA64DD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84F8-497E-98C0-0392EAA64DD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84F8-497E-98C0-0392EAA64DD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7-84F8-497E-98C0-0392EAA64DD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8-84F8-497E-98C0-0392EAA64DD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9-84F8-497E-98C0-0392EAA64DD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A-84F8-497E-98C0-0392EAA64DD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B-84F8-497E-98C0-0392EAA64DD7}"/>
              </c:ext>
            </c:extLst>
          </c:dPt>
          <c:dLbls>
            <c:dLbl>
              <c:idx val="0"/>
              <c:layout>
                <c:manualLayout>
                  <c:x val="0.12777777777777757"/>
                  <c:y val="-0.111111111111111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4F8-497E-98C0-0392EAA64DD7}"/>
                </c:ext>
              </c:extLst>
            </c:dLbl>
            <c:dLbl>
              <c:idx val="1"/>
              <c:layout>
                <c:manualLayout>
                  <c:x val="0.15833333333333313"/>
                  <c:y val="-6.4814814814814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4F8-497E-98C0-0392EAA64DD7}"/>
                </c:ext>
              </c:extLst>
            </c:dLbl>
            <c:dLbl>
              <c:idx val="2"/>
              <c:layout>
                <c:manualLayout>
                  <c:x val="0.163888888888889"/>
                  <c:y val="4.16666666666665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4F8-497E-98C0-0392EAA64DD7}"/>
                </c:ext>
              </c:extLst>
            </c:dLbl>
            <c:dLbl>
              <c:idx val="3"/>
              <c:layout>
                <c:manualLayout>
                  <c:x val="8.8888888888888892E-2"/>
                  <c:y val="0.106481481481481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4F8-497E-98C0-0392EAA64DD7}"/>
                </c:ext>
              </c:extLst>
            </c:dLbl>
            <c:dLbl>
              <c:idx val="4"/>
              <c:layout>
                <c:manualLayout>
                  <c:x val="-0.14722222222222223"/>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4F8-497E-98C0-0392EAA64DD7}"/>
                </c:ext>
              </c:extLst>
            </c:dLbl>
            <c:dLbl>
              <c:idx val="5"/>
              <c:layout>
                <c:manualLayout>
                  <c:x val="-0.14722222222222225"/>
                  <c:y val="1.85185185185184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4F8-497E-98C0-0392EAA64DD7}"/>
                </c:ext>
              </c:extLst>
            </c:dLbl>
            <c:dLbl>
              <c:idx val="6"/>
              <c:layout>
                <c:manualLayout>
                  <c:x val="-0.1833333333333333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4F8-497E-98C0-0392EAA64DD7}"/>
                </c:ext>
              </c:extLst>
            </c:dLbl>
            <c:dLbl>
              <c:idx val="7"/>
              <c:layout>
                <c:manualLayout>
                  <c:x val="-0.1361111111111111"/>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4F8-497E-98C0-0392EAA64DD7}"/>
                </c:ext>
              </c:extLst>
            </c:dLbl>
            <c:dLbl>
              <c:idx val="8"/>
              <c:layout>
                <c:manualLayout>
                  <c:x val="-0.14722222222222225"/>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4F8-497E-98C0-0392EAA64DD7}"/>
                </c:ext>
              </c:extLst>
            </c:dLbl>
            <c:dLbl>
              <c:idx val="9"/>
              <c:layout>
                <c:manualLayout>
                  <c:x val="-8.3333333333333835E-3"/>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4F8-497E-98C0-0392EAA64D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chart'!$D$4:$D$14</c:f>
              <c:strCache>
                <c:ptCount val="10"/>
                <c:pt idx="0">
                  <c:v>Desktop</c:v>
                </c:pt>
                <c:pt idx="1">
                  <c:v>Headset</c:v>
                </c:pt>
                <c:pt idx="2">
                  <c:v>Keyboard</c:v>
                </c:pt>
                <c:pt idx="3">
                  <c:v>Laptop</c:v>
                </c:pt>
                <c:pt idx="4">
                  <c:v>Monitor</c:v>
                </c:pt>
                <c:pt idx="5">
                  <c:v>Mouse</c:v>
                </c:pt>
                <c:pt idx="6">
                  <c:v>Printer</c:v>
                </c:pt>
                <c:pt idx="7">
                  <c:v>SSD</c:v>
                </c:pt>
                <c:pt idx="8">
                  <c:v>Tablet</c:v>
                </c:pt>
                <c:pt idx="9">
                  <c:v>Webcam</c:v>
                </c:pt>
              </c:strCache>
            </c:strRef>
          </c:cat>
          <c:val>
            <c:numRef>
              <c:f>'pivot chart'!$E$4:$E$14</c:f>
              <c:numCache>
                <c:formatCode>"₹"\ #,##0</c:formatCode>
                <c:ptCount val="10"/>
                <c:pt idx="0">
                  <c:v>66285000</c:v>
                </c:pt>
                <c:pt idx="1">
                  <c:v>3172400</c:v>
                </c:pt>
                <c:pt idx="2">
                  <c:v>1500000</c:v>
                </c:pt>
                <c:pt idx="3">
                  <c:v>56980000</c:v>
                </c:pt>
                <c:pt idx="4">
                  <c:v>15705000</c:v>
                </c:pt>
                <c:pt idx="5">
                  <c:v>1380800</c:v>
                </c:pt>
                <c:pt idx="6">
                  <c:v>12108000</c:v>
                </c:pt>
                <c:pt idx="7">
                  <c:v>8634000</c:v>
                </c:pt>
                <c:pt idx="8">
                  <c:v>38500000</c:v>
                </c:pt>
                <c:pt idx="9">
                  <c:v>3860500</c:v>
                </c:pt>
              </c:numCache>
            </c:numRef>
          </c:val>
          <c:extLst>
            <c:ext xmlns:c16="http://schemas.microsoft.com/office/drawing/2014/chart" uri="{C3380CC4-5D6E-409C-BE32-E72D297353CC}">
              <c16:uniqueId val="{00000000-84F8-497E-98C0-0392EAA64DD7}"/>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8</xdr:col>
      <xdr:colOff>184150</xdr:colOff>
      <xdr:row>1</xdr:row>
      <xdr:rowOff>165100</xdr:rowOff>
    </xdr:from>
    <xdr:to>
      <xdr:col>11</xdr:col>
      <xdr:colOff>298450</xdr:colOff>
      <xdr:row>5</xdr:row>
      <xdr:rowOff>158750</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6EAAAA9F-BCF5-CB45-9485-69BEA7336B5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385050" y="349250"/>
              <a:ext cx="1943100" cy="730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177800</xdr:colOff>
      <xdr:row>7</xdr:row>
      <xdr:rowOff>139700</xdr:rowOff>
    </xdr:from>
    <xdr:to>
      <xdr:col>11</xdr:col>
      <xdr:colOff>177800</xdr:colOff>
      <xdr:row>21</xdr:row>
      <xdr:rowOff>44450</xdr:rowOff>
    </xdr:to>
    <mc:AlternateContent xmlns:mc="http://schemas.openxmlformats.org/markup-compatibility/2006">
      <mc:Choice xmlns:a14="http://schemas.microsoft.com/office/drawing/2010/main" Requires="a14">
        <xdr:graphicFrame macro="">
          <xdr:nvGraphicFramePr>
            <xdr:cNvPr id="3" name="Sales Person">
              <a:extLst>
                <a:ext uri="{FF2B5EF4-FFF2-40B4-BE49-F238E27FC236}">
                  <a16:creationId xmlns:a16="http://schemas.microsoft.com/office/drawing/2014/main" id="{7678C892-01DE-3EAE-8C90-6D210C32EE42}"/>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dr:sp macro="" textlink="">
          <xdr:nvSpPr>
            <xdr:cNvPr id="0" name=""/>
            <xdr:cNvSpPr>
              <a:spLocks noTextEdit="1"/>
            </xdr:cNvSpPr>
          </xdr:nvSpPr>
          <xdr:spPr>
            <a:xfrm>
              <a:off x="7378700" y="1428750"/>
              <a:ext cx="1828800" cy="2482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381000</xdr:colOff>
      <xdr:row>1</xdr:row>
      <xdr:rowOff>165100</xdr:rowOff>
    </xdr:from>
    <xdr:to>
      <xdr:col>14</xdr:col>
      <xdr:colOff>381000</xdr:colOff>
      <xdr:row>18</xdr:row>
      <xdr:rowOff>25400</xdr:rowOff>
    </xdr:to>
    <mc:AlternateContent xmlns:mc="http://schemas.openxmlformats.org/markup-compatibility/2006">
      <mc:Choice xmlns:a14="http://schemas.microsoft.com/office/drawing/2010/main" Requires="a14">
        <xdr:graphicFrame macro="">
          <xdr:nvGraphicFramePr>
            <xdr:cNvPr id="4" name="Product">
              <a:extLst>
                <a:ext uri="{FF2B5EF4-FFF2-40B4-BE49-F238E27FC236}">
                  <a16:creationId xmlns:a16="http://schemas.microsoft.com/office/drawing/2014/main" id="{F74CAE74-47DC-97D5-6344-04F741D2664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9410700" y="349250"/>
              <a:ext cx="1828800" cy="2990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28575</xdr:colOff>
      <xdr:row>14</xdr:row>
      <xdr:rowOff>82550</xdr:rowOff>
    </xdr:from>
    <xdr:to>
      <xdr:col>5</xdr:col>
      <xdr:colOff>3175</xdr:colOff>
      <xdr:row>29</xdr:row>
      <xdr:rowOff>63500</xdr:rowOff>
    </xdr:to>
    <xdr:graphicFrame macro="">
      <xdr:nvGraphicFramePr>
        <xdr:cNvPr id="5" name="Chart 4">
          <a:extLst>
            <a:ext uri="{FF2B5EF4-FFF2-40B4-BE49-F238E27FC236}">
              <a16:creationId xmlns:a16="http://schemas.microsoft.com/office/drawing/2014/main" id="{87D7E5E4-B7FC-56B6-30D5-A7CB0A5BC5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231775</xdr:colOff>
      <xdr:row>1</xdr:row>
      <xdr:rowOff>146050</xdr:rowOff>
    </xdr:from>
    <xdr:to>
      <xdr:col>7</xdr:col>
      <xdr:colOff>720725</xdr:colOff>
      <xdr:row>16</xdr:row>
      <xdr:rowOff>127000</xdr:rowOff>
    </xdr:to>
    <xdr:graphicFrame macro="">
      <xdr:nvGraphicFramePr>
        <xdr:cNvPr id="6" name="Chart 5">
          <a:extLst>
            <a:ext uri="{FF2B5EF4-FFF2-40B4-BE49-F238E27FC236}">
              <a16:creationId xmlns:a16="http://schemas.microsoft.com/office/drawing/2014/main" id="{C3C477C1-B641-CDA8-C189-1ADBF1C19B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95.502241087961" createdVersion="8" refreshedVersion="8" minRefreshableVersion="3" recordCount="500" xr:uid="{B626C431-0E50-4DE8-97BF-CEDBFF654237}">
  <cacheSource type="worksheet">
    <worksheetSource name="Table1"/>
  </cacheSource>
  <cacheFields count="9">
    <cacheField name="Date" numFmtId="0">
      <sharedItems/>
    </cacheField>
    <cacheField name="Sales Person" numFmtId="0">
      <sharedItems count="8">
        <s v="Priya"/>
        <s v="Karthik"/>
        <s v="Vignesh"/>
        <s v="Divya"/>
        <s v="Arun"/>
        <s v="Rahul"/>
        <s v="Sneha"/>
        <s v="Meena"/>
      </sharedItems>
    </cacheField>
    <cacheField name="Region" numFmtId="0">
      <sharedItems count="4">
        <s v="North"/>
        <s v="South"/>
        <s v="East"/>
        <s v="West"/>
      </sharedItems>
    </cacheField>
    <cacheField name="Product" numFmtId="0">
      <sharedItems count="10">
        <s v="Mouse"/>
        <s v="Webcam"/>
        <s v="Laptop"/>
        <s v="Tablet"/>
        <s v="Printer"/>
        <s v="Headset"/>
        <s v="Desktop"/>
        <s v="SSD"/>
        <s v="Monitor"/>
        <s v="Keyboard"/>
      </sharedItems>
    </cacheField>
    <cacheField name="unitSold" numFmtId="0">
      <sharedItems containsSemiMixedTypes="0" containsString="0" containsNumber="1" containsInteger="1" minValue="1" maxValue="50"/>
    </cacheField>
    <cacheField name="unitPrice" numFmtId="0">
      <sharedItems containsSemiMixedTypes="0" containsString="0" containsNumber="1" containsInteger="1" minValue="800" maxValue="55000"/>
    </cacheField>
    <cacheField name="cost of Goods" numFmtId="0">
      <sharedItems containsSemiMixedTypes="0" containsString="0" containsNumber="1" containsInteger="1" minValue="1200" maxValue="1940400"/>
    </cacheField>
    <cacheField name="Total Sales" numFmtId="0">
      <sharedItems containsSemiMixedTypes="0" containsString="0" containsNumber="1" containsInteger="1" minValue="2200" maxValue="2695000"/>
    </cacheField>
    <cacheField name="Profit" numFmtId="0">
      <sharedItems containsSemiMixedTypes="0" containsString="0" containsNumber="1" containsInteger="1" minValue="2000" maxValue="809600"/>
    </cacheField>
  </cacheFields>
  <extLst>
    <ext xmlns:x14="http://schemas.microsoft.com/office/spreadsheetml/2009/9/main" uri="{725AE2AE-9491-48be-B2B4-4EB974FC3084}">
      <x14:pivotCacheDefinition pivotCacheId="19609883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24-11-2026"/>
    <x v="0"/>
    <x v="0"/>
    <x v="0"/>
    <n v="16"/>
    <n v="800"/>
    <n v="6400"/>
    <n v="12800"/>
    <n v="7200"/>
  </r>
  <r>
    <s v="25-04-2026"/>
    <x v="1"/>
    <x v="0"/>
    <x v="1"/>
    <n v="6"/>
    <n v="3500"/>
    <n v="12600"/>
    <n v="21000"/>
    <n v="11900"/>
  </r>
  <r>
    <s v="30-10-2026"/>
    <x v="2"/>
    <x v="0"/>
    <x v="2"/>
    <n v="6"/>
    <n v="55000"/>
    <n v="237600"/>
    <n v="330000"/>
    <n v="147400"/>
  </r>
  <r>
    <s v="22-04-2026"/>
    <x v="3"/>
    <x v="0"/>
    <x v="1"/>
    <n v="13"/>
    <n v="3500"/>
    <n v="27300"/>
    <n v="45500"/>
    <n v="21700"/>
  </r>
  <r>
    <s v="29-11-2026"/>
    <x v="2"/>
    <x v="1"/>
    <x v="3"/>
    <n v="38"/>
    <n v="25000"/>
    <n v="665000"/>
    <n v="950000"/>
    <n v="310000"/>
  </r>
  <r>
    <s v="23-05-2026"/>
    <x v="4"/>
    <x v="1"/>
    <x v="4"/>
    <n v="22"/>
    <n v="12000"/>
    <n v="179520"/>
    <n v="264000"/>
    <n v="96480"/>
  </r>
  <r>
    <s v="23-05-2026"/>
    <x v="1"/>
    <x v="1"/>
    <x v="5"/>
    <n v="7"/>
    <n v="2200"/>
    <n v="8932"/>
    <n v="15400"/>
    <n v="8668"/>
  </r>
  <r>
    <s v="17-02-2026"/>
    <x v="2"/>
    <x v="0"/>
    <x v="5"/>
    <n v="23"/>
    <n v="2200"/>
    <n v="29348"/>
    <n v="50600"/>
    <n v="23452"/>
  </r>
  <r>
    <s v="06-11-2026"/>
    <x v="5"/>
    <x v="0"/>
    <x v="3"/>
    <n v="35"/>
    <n v="25000"/>
    <n v="612500"/>
    <n v="875000"/>
    <n v="287500"/>
  </r>
  <r>
    <s v="05-03-2026"/>
    <x v="2"/>
    <x v="0"/>
    <x v="1"/>
    <n v="19"/>
    <n v="3500"/>
    <n v="39900"/>
    <n v="66500"/>
    <n v="30100"/>
  </r>
  <r>
    <s v="18-11-2026"/>
    <x v="6"/>
    <x v="1"/>
    <x v="6"/>
    <n v="3"/>
    <n v="45000"/>
    <n v="94500"/>
    <n v="135000"/>
    <n v="85500"/>
  </r>
  <r>
    <s v="05-12-2026"/>
    <x v="3"/>
    <x v="2"/>
    <x v="6"/>
    <n v="15"/>
    <n v="45000"/>
    <n v="472500"/>
    <n v="675000"/>
    <n v="247500"/>
  </r>
  <r>
    <s v="21-02-2026"/>
    <x v="2"/>
    <x v="2"/>
    <x v="3"/>
    <n v="41"/>
    <n v="25000"/>
    <n v="717500"/>
    <n v="1025000"/>
    <n v="332500"/>
  </r>
  <r>
    <s v="06-07-2026"/>
    <x v="1"/>
    <x v="2"/>
    <x v="5"/>
    <n v="14"/>
    <n v="2200"/>
    <n v="17864"/>
    <n v="30800"/>
    <n v="15136"/>
  </r>
  <r>
    <s v="10-12-2026"/>
    <x v="5"/>
    <x v="0"/>
    <x v="7"/>
    <n v="41"/>
    <n v="6000"/>
    <n v="152520"/>
    <n v="246000"/>
    <n v="99480"/>
  </r>
  <r>
    <s v="29-03-2026"/>
    <x v="3"/>
    <x v="1"/>
    <x v="3"/>
    <n v="25"/>
    <n v="25000"/>
    <n v="437500"/>
    <n v="625000"/>
    <n v="212500"/>
  </r>
  <r>
    <s v="19-05-2026"/>
    <x v="3"/>
    <x v="2"/>
    <x v="2"/>
    <n v="15"/>
    <n v="55000"/>
    <n v="594000"/>
    <n v="825000"/>
    <n v="286000"/>
  </r>
  <r>
    <s v="17-01-2026"/>
    <x v="6"/>
    <x v="3"/>
    <x v="0"/>
    <n v="5"/>
    <n v="800"/>
    <n v="2000"/>
    <n v="4000"/>
    <n v="2800"/>
  </r>
  <r>
    <s v="19-04-2026"/>
    <x v="6"/>
    <x v="1"/>
    <x v="3"/>
    <n v="26"/>
    <n v="25000"/>
    <n v="455000"/>
    <n v="650000"/>
    <n v="220000"/>
  </r>
  <r>
    <s v="26-11-2026"/>
    <x v="7"/>
    <x v="1"/>
    <x v="0"/>
    <n v="9"/>
    <n v="800"/>
    <n v="3600"/>
    <n v="7200"/>
    <n v="4400"/>
  </r>
  <r>
    <s v="07-05-2026"/>
    <x v="5"/>
    <x v="3"/>
    <x v="7"/>
    <n v="26"/>
    <n v="6000"/>
    <n v="96720"/>
    <n v="156000"/>
    <n v="65280"/>
  </r>
  <r>
    <s v="05-07-2026"/>
    <x v="3"/>
    <x v="1"/>
    <x v="1"/>
    <n v="32"/>
    <n v="3500"/>
    <n v="67200"/>
    <n v="112000"/>
    <n v="48300"/>
  </r>
  <r>
    <s v="16-02-2026"/>
    <x v="4"/>
    <x v="0"/>
    <x v="8"/>
    <n v="41"/>
    <n v="15000"/>
    <n v="399750"/>
    <n v="615000"/>
    <n v="230250"/>
  </r>
  <r>
    <s v="23-03-2026"/>
    <x v="2"/>
    <x v="0"/>
    <x v="4"/>
    <n v="25"/>
    <n v="12000"/>
    <n v="204000"/>
    <n v="300000"/>
    <n v="108000"/>
  </r>
  <r>
    <s v="02-11-2026"/>
    <x v="7"/>
    <x v="2"/>
    <x v="1"/>
    <n v="1"/>
    <n v="3500"/>
    <n v="2100"/>
    <n v="3500"/>
    <n v="4900"/>
  </r>
  <r>
    <s v="15-12-2026"/>
    <x v="0"/>
    <x v="2"/>
    <x v="5"/>
    <n v="8"/>
    <n v="2200"/>
    <n v="10208"/>
    <n v="17600"/>
    <n v="9592"/>
  </r>
  <r>
    <s v="31-05-2026"/>
    <x v="2"/>
    <x v="1"/>
    <x v="3"/>
    <n v="1"/>
    <n v="25000"/>
    <n v="17500"/>
    <n v="25000"/>
    <n v="32500"/>
  </r>
  <r>
    <s v="15-05-2026"/>
    <x v="1"/>
    <x v="0"/>
    <x v="0"/>
    <n v="41"/>
    <n v="800"/>
    <n v="16400"/>
    <n v="32800"/>
    <n v="17200"/>
  </r>
  <r>
    <s v="17-09-2026"/>
    <x v="3"/>
    <x v="1"/>
    <x v="5"/>
    <n v="49"/>
    <n v="2200"/>
    <n v="62524"/>
    <n v="107800"/>
    <n v="47476"/>
  </r>
  <r>
    <s v="24-03-2026"/>
    <x v="4"/>
    <x v="2"/>
    <x v="3"/>
    <n v="2"/>
    <n v="25000"/>
    <n v="35000"/>
    <n v="50000"/>
    <n v="40000"/>
  </r>
  <r>
    <s v="27-02-2026"/>
    <x v="6"/>
    <x v="2"/>
    <x v="9"/>
    <n v="4"/>
    <n v="1500"/>
    <n v="3300"/>
    <n v="6000"/>
    <n v="4200"/>
  </r>
  <r>
    <s v="04-05-2026"/>
    <x v="0"/>
    <x v="0"/>
    <x v="3"/>
    <n v="5"/>
    <n v="25000"/>
    <n v="87500"/>
    <n v="125000"/>
    <n v="62500"/>
  </r>
  <r>
    <s v="30-09-2026"/>
    <x v="1"/>
    <x v="1"/>
    <x v="3"/>
    <n v="36"/>
    <n v="25000"/>
    <n v="630000"/>
    <n v="900000"/>
    <n v="295000"/>
  </r>
  <r>
    <s v="26-03-2026"/>
    <x v="5"/>
    <x v="3"/>
    <x v="9"/>
    <n v="35"/>
    <n v="1500"/>
    <n v="28875"/>
    <n v="52500"/>
    <n v="25125"/>
  </r>
  <r>
    <s v="20-12-2026"/>
    <x v="3"/>
    <x v="2"/>
    <x v="4"/>
    <n v="43"/>
    <n v="12000"/>
    <n v="350880"/>
    <n v="516000"/>
    <n v="177120"/>
  </r>
  <r>
    <s v="29-11-2026"/>
    <x v="6"/>
    <x v="3"/>
    <x v="1"/>
    <n v="29"/>
    <n v="3500"/>
    <n v="60900"/>
    <n v="101500"/>
    <n v="44100"/>
  </r>
  <r>
    <s v="03-03-2026"/>
    <x v="3"/>
    <x v="1"/>
    <x v="6"/>
    <n v="22"/>
    <n v="45000"/>
    <n v="693000"/>
    <n v="990000"/>
    <n v="342000"/>
  </r>
  <r>
    <s v="11-01-2026"/>
    <x v="3"/>
    <x v="1"/>
    <x v="2"/>
    <n v="5"/>
    <n v="55000"/>
    <n v="198000"/>
    <n v="275000"/>
    <n v="132000"/>
  </r>
  <r>
    <s v="29-12-2026"/>
    <x v="4"/>
    <x v="1"/>
    <x v="6"/>
    <n v="3"/>
    <n v="45000"/>
    <n v="94500"/>
    <n v="135000"/>
    <n v="85500"/>
  </r>
  <r>
    <s v="19-06-2026"/>
    <x v="0"/>
    <x v="1"/>
    <x v="0"/>
    <n v="43"/>
    <n v="800"/>
    <n v="17200"/>
    <n v="34400"/>
    <n v="18000"/>
  </r>
  <r>
    <s v="06-09-2026"/>
    <x v="3"/>
    <x v="1"/>
    <x v="7"/>
    <n v="37"/>
    <n v="6000"/>
    <n v="137640"/>
    <n v="222000"/>
    <n v="90360"/>
  </r>
  <r>
    <s v="31-08-2026"/>
    <x v="3"/>
    <x v="3"/>
    <x v="4"/>
    <n v="13"/>
    <n v="12000"/>
    <n v="106080"/>
    <n v="156000"/>
    <n v="61920"/>
  </r>
  <r>
    <s v="18-02-2026"/>
    <x v="0"/>
    <x v="3"/>
    <x v="5"/>
    <n v="28"/>
    <n v="2200"/>
    <n v="35728"/>
    <n v="61600"/>
    <n v="28072"/>
  </r>
  <r>
    <s v="30-07-2026"/>
    <x v="7"/>
    <x v="0"/>
    <x v="6"/>
    <n v="4"/>
    <n v="45000"/>
    <n v="126000"/>
    <n v="180000"/>
    <n v="99000"/>
  </r>
  <r>
    <s v="26-07-2026"/>
    <x v="6"/>
    <x v="0"/>
    <x v="9"/>
    <n v="13"/>
    <n v="1500"/>
    <n v="10725"/>
    <n v="19500"/>
    <n v="10275"/>
  </r>
  <r>
    <s v="08-04-2026"/>
    <x v="7"/>
    <x v="1"/>
    <x v="4"/>
    <n v="12"/>
    <n v="12000"/>
    <n v="97920"/>
    <n v="144000"/>
    <n v="58080"/>
  </r>
  <r>
    <s v="23-05-2026"/>
    <x v="7"/>
    <x v="1"/>
    <x v="6"/>
    <n v="29"/>
    <n v="45000"/>
    <n v="913500"/>
    <n v="1305000"/>
    <n v="436500"/>
  </r>
  <r>
    <s v="09-10-2026"/>
    <x v="0"/>
    <x v="0"/>
    <x v="1"/>
    <n v="1"/>
    <n v="3500"/>
    <n v="2100"/>
    <n v="3500"/>
    <n v="4900"/>
  </r>
  <r>
    <s v="17-02-2026"/>
    <x v="3"/>
    <x v="1"/>
    <x v="4"/>
    <n v="32"/>
    <n v="12000"/>
    <n v="261120"/>
    <n v="384000"/>
    <n v="134880"/>
  </r>
  <r>
    <s v="04-09-2026"/>
    <x v="3"/>
    <x v="3"/>
    <x v="2"/>
    <n v="11"/>
    <n v="55000"/>
    <n v="435600"/>
    <n v="605000"/>
    <n v="224400"/>
  </r>
  <r>
    <s v="14-07-2026"/>
    <x v="4"/>
    <x v="3"/>
    <x v="0"/>
    <n v="30"/>
    <n v="800"/>
    <n v="12000"/>
    <n v="24000"/>
    <n v="12800"/>
  </r>
  <r>
    <s v="27-05-2026"/>
    <x v="2"/>
    <x v="3"/>
    <x v="8"/>
    <n v="13"/>
    <n v="15000"/>
    <n v="126750"/>
    <n v="195000"/>
    <n v="83250"/>
  </r>
  <r>
    <s v="01-06-2026"/>
    <x v="3"/>
    <x v="0"/>
    <x v="7"/>
    <n v="48"/>
    <n v="6000"/>
    <n v="178560"/>
    <n v="288000"/>
    <n v="115440"/>
  </r>
  <r>
    <s v="05-10-2026"/>
    <x v="4"/>
    <x v="2"/>
    <x v="2"/>
    <n v="4"/>
    <n v="55000"/>
    <n v="158400"/>
    <n v="220000"/>
    <n v="116600"/>
  </r>
  <r>
    <s v="27-10-2026"/>
    <x v="7"/>
    <x v="1"/>
    <x v="2"/>
    <n v="33"/>
    <n v="55000"/>
    <n v="1306800"/>
    <n v="1815000"/>
    <n v="563200"/>
  </r>
  <r>
    <s v="11-02-2026"/>
    <x v="1"/>
    <x v="0"/>
    <x v="7"/>
    <n v="5"/>
    <n v="6000"/>
    <n v="18600"/>
    <n v="30000"/>
    <n v="17400"/>
  </r>
  <r>
    <s v="12-12-2026"/>
    <x v="3"/>
    <x v="3"/>
    <x v="6"/>
    <n v="37"/>
    <n v="45000"/>
    <n v="1165500"/>
    <n v="1665000"/>
    <n v="544500"/>
  </r>
  <r>
    <s v="07-05-2026"/>
    <x v="4"/>
    <x v="0"/>
    <x v="4"/>
    <n v="43"/>
    <n v="12000"/>
    <n v="350880"/>
    <n v="516000"/>
    <n v="177120"/>
  </r>
  <r>
    <s v="26-10-2026"/>
    <x v="6"/>
    <x v="2"/>
    <x v="9"/>
    <n v="43"/>
    <n v="1500"/>
    <n v="35475"/>
    <n v="64500"/>
    <n v="30525"/>
  </r>
  <r>
    <s v="10-06-2026"/>
    <x v="3"/>
    <x v="2"/>
    <x v="4"/>
    <n v="9"/>
    <n v="12000"/>
    <n v="73440"/>
    <n v="108000"/>
    <n v="46560"/>
  </r>
  <r>
    <s v="10-12-2026"/>
    <x v="5"/>
    <x v="3"/>
    <x v="5"/>
    <n v="49"/>
    <n v="2200"/>
    <n v="62524"/>
    <n v="107800"/>
    <n v="47476"/>
  </r>
  <r>
    <s v="07-02-2026"/>
    <x v="4"/>
    <x v="3"/>
    <x v="7"/>
    <n v="37"/>
    <n v="6000"/>
    <n v="137640"/>
    <n v="222000"/>
    <n v="90360"/>
  </r>
  <r>
    <s v="21-02-2026"/>
    <x v="0"/>
    <x v="1"/>
    <x v="1"/>
    <n v="17"/>
    <n v="3500"/>
    <n v="35700"/>
    <n v="59500"/>
    <n v="27300"/>
  </r>
  <r>
    <s v="09-03-2026"/>
    <x v="6"/>
    <x v="0"/>
    <x v="9"/>
    <n v="24"/>
    <n v="1500"/>
    <n v="19800"/>
    <n v="36000"/>
    <n v="17700"/>
  </r>
  <r>
    <s v="26-05-2026"/>
    <x v="1"/>
    <x v="3"/>
    <x v="1"/>
    <n v="46"/>
    <n v="3500"/>
    <n v="96600"/>
    <n v="161000"/>
    <n v="67900"/>
  </r>
  <r>
    <s v="04-06-2026"/>
    <x v="4"/>
    <x v="2"/>
    <x v="6"/>
    <n v="9"/>
    <n v="45000"/>
    <n v="283500"/>
    <n v="405000"/>
    <n v="166500"/>
  </r>
  <r>
    <s v="16-05-2026"/>
    <x v="0"/>
    <x v="0"/>
    <x v="1"/>
    <n v="10"/>
    <n v="3500"/>
    <n v="21000"/>
    <n v="35000"/>
    <n v="17500"/>
  </r>
  <r>
    <s v="20-05-2026"/>
    <x v="5"/>
    <x v="1"/>
    <x v="5"/>
    <n v="14"/>
    <n v="2200"/>
    <n v="17864"/>
    <n v="30800"/>
    <n v="15136"/>
  </r>
  <r>
    <s v="18-12-2026"/>
    <x v="5"/>
    <x v="3"/>
    <x v="0"/>
    <n v="4"/>
    <n v="800"/>
    <n v="1600"/>
    <n v="3200"/>
    <n v="2400"/>
  </r>
  <r>
    <s v="17-02-2026"/>
    <x v="2"/>
    <x v="2"/>
    <x v="2"/>
    <n v="1"/>
    <n v="55000"/>
    <n v="39600"/>
    <n v="55000"/>
    <n v="70400"/>
  </r>
  <r>
    <s v="20-06-2026"/>
    <x v="1"/>
    <x v="2"/>
    <x v="8"/>
    <n v="48"/>
    <n v="15000"/>
    <n v="468000"/>
    <n v="720000"/>
    <n v="267000"/>
  </r>
  <r>
    <s v="15-08-2026"/>
    <x v="2"/>
    <x v="0"/>
    <x v="6"/>
    <n v="5"/>
    <n v="45000"/>
    <n v="157500"/>
    <n v="225000"/>
    <n v="112500"/>
  </r>
  <r>
    <s v="20-12-2026"/>
    <x v="1"/>
    <x v="0"/>
    <x v="5"/>
    <n v="38"/>
    <n v="2200"/>
    <n v="48488"/>
    <n v="83600"/>
    <n v="37312"/>
  </r>
  <r>
    <s v="10-10-2026"/>
    <x v="1"/>
    <x v="3"/>
    <x v="8"/>
    <n v="3"/>
    <n v="15000"/>
    <n v="29250"/>
    <n v="45000"/>
    <n v="30750"/>
  </r>
  <r>
    <s v="07-06-2026"/>
    <x v="6"/>
    <x v="0"/>
    <x v="5"/>
    <n v="14"/>
    <n v="2200"/>
    <n v="17864"/>
    <n v="30800"/>
    <n v="15136"/>
  </r>
  <r>
    <s v="16-12-2026"/>
    <x v="3"/>
    <x v="0"/>
    <x v="5"/>
    <n v="50"/>
    <n v="2200"/>
    <n v="63800"/>
    <n v="110000"/>
    <n v="48400"/>
  </r>
  <r>
    <s v="14-10-2026"/>
    <x v="2"/>
    <x v="1"/>
    <x v="9"/>
    <n v="11"/>
    <n v="1500"/>
    <n v="9075"/>
    <n v="16500"/>
    <n v="8925"/>
  </r>
  <r>
    <s v="01-04-2026"/>
    <x v="2"/>
    <x v="0"/>
    <x v="8"/>
    <n v="48"/>
    <n v="15000"/>
    <n v="468000"/>
    <n v="720000"/>
    <n v="267000"/>
  </r>
  <r>
    <s v="20-06-2026"/>
    <x v="2"/>
    <x v="1"/>
    <x v="0"/>
    <n v="11"/>
    <n v="800"/>
    <n v="4400"/>
    <n v="8800"/>
    <n v="5200"/>
  </r>
  <r>
    <s v="26-12-2026"/>
    <x v="0"/>
    <x v="3"/>
    <x v="2"/>
    <n v="31"/>
    <n v="55000"/>
    <n v="1227600"/>
    <n v="1705000"/>
    <n v="532400"/>
  </r>
  <r>
    <s v="24-04-2026"/>
    <x v="3"/>
    <x v="3"/>
    <x v="5"/>
    <n v="20"/>
    <n v="2200"/>
    <n v="25520"/>
    <n v="44000"/>
    <n v="20680"/>
  </r>
  <r>
    <s v="27-04-2026"/>
    <x v="3"/>
    <x v="0"/>
    <x v="9"/>
    <n v="26"/>
    <n v="1500"/>
    <n v="21450"/>
    <n v="39000"/>
    <n v="19050"/>
  </r>
  <r>
    <s v="18-06-2026"/>
    <x v="5"/>
    <x v="0"/>
    <x v="0"/>
    <n v="23"/>
    <n v="800"/>
    <n v="9200"/>
    <n v="18400"/>
    <n v="10000"/>
  </r>
  <r>
    <s v="25-11-2026"/>
    <x v="2"/>
    <x v="2"/>
    <x v="2"/>
    <n v="8"/>
    <n v="55000"/>
    <n v="316800"/>
    <n v="440000"/>
    <n v="178200"/>
  </r>
  <r>
    <s v="14-05-2026"/>
    <x v="1"/>
    <x v="2"/>
    <x v="2"/>
    <n v="7"/>
    <n v="55000"/>
    <n v="277200"/>
    <n v="385000"/>
    <n v="162800"/>
  </r>
  <r>
    <s v="02-11-2026"/>
    <x v="2"/>
    <x v="2"/>
    <x v="5"/>
    <n v="28"/>
    <n v="2200"/>
    <n v="35728"/>
    <n v="61600"/>
    <n v="28072"/>
  </r>
  <r>
    <s v="07-11-2026"/>
    <x v="0"/>
    <x v="3"/>
    <x v="7"/>
    <n v="13"/>
    <n v="6000"/>
    <n v="48360"/>
    <n v="78000"/>
    <n v="35640"/>
  </r>
  <r>
    <s v="11-05-2026"/>
    <x v="4"/>
    <x v="3"/>
    <x v="2"/>
    <n v="34"/>
    <n v="55000"/>
    <n v="1346400"/>
    <n v="1870000"/>
    <n v="578600"/>
  </r>
  <r>
    <s v="03-10-2026"/>
    <x v="3"/>
    <x v="2"/>
    <x v="4"/>
    <n v="5"/>
    <n v="12000"/>
    <n v="40800"/>
    <n v="60000"/>
    <n v="31200"/>
  </r>
  <r>
    <s v="07-12-2026"/>
    <x v="6"/>
    <x v="2"/>
    <x v="6"/>
    <n v="47"/>
    <n v="45000"/>
    <n v="1480500"/>
    <n v="2115000"/>
    <n v="679500"/>
  </r>
  <r>
    <s v="03-06-2026"/>
    <x v="5"/>
    <x v="3"/>
    <x v="5"/>
    <n v="26"/>
    <n v="2200"/>
    <n v="33176"/>
    <n v="57200"/>
    <n v="26224"/>
  </r>
  <r>
    <s v="23-12-2026"/>
    <x v="5"/>
    <x v="1"/>
    <x v="9"/>
    <n v="27"/>
    <n v="1500"/>
    <n v="22275"/>
    <n v="40500"/>
    <n v="19725"/>
  </r>
  <r>
    <s v="07-12-2026"/>
    <x v="2"/>
    <x v="1"/>
    <x v="7"/>
    <n v="37"/>
    <n v="6000"/>
    <n v="137640"/>
    <n v="222000"/>
    <n v="90360"/>
  </r>
  <r>
    <s v="04-06-2026"/>
    <x v="2"/>
    <x v="0"/>
    <x v="0"/>
    <n v="19"/>
    <n v="800"/>
    <n v="7600"/>
    <n v="15200"/>
    <n v="8400"/>
  </r>
  <r>
    <s v="18-04-2026"/>
    <x v="2"/>
    <x v="2"/>
    <x v="3"/>
    <n v="29"/>
    <n v="25000"/>
    <n v="507500"/>
    <n v="725000"/>
    <n v="242500"/>
  </r>
  <r>
    <s v="15-08-2026"/>
    <x v="3"/>
    <x v="3"/>
    <x v="8"/>
    <n v="43"/>
    <n v="15000"/>
    <n v="419250"/>
    <n v="645000"/>
    <n v="240750"/>
  </r>
  <r>
    <s v="13-02-2026"/>
    <x v="5"/>
    <x v="2"/>
    <x v="6"/>
    <n v="49"/>
    <n v="45000"/>
    <n v="1543500"/>
    <n v="2205000"/>
    <n v="706500"/>
  </r>
  <r>
    <s v="01-05-2026"/>
    <x v="5"/>
    <x v="1"/>
    <x v="9"/>
    <n v="10"/>
    <n v="1500"/>
    <n v="8250"/>
    <n v="15000"/>
    <n v="8250"/>
  </r>
  <r>
    <s v="13-01-2026"/>
    <x v="4"/>
    <x v="1"/>
    <x v="3"/>
    <n v="40"/>
    <n v="25000"/>
    <n v="700000"/>
    <n v="1000000"/>
    <n v="325000"/>
  </r>
  <r>
    <s v="07-02-2026"/>
    <x v="7"/>
    <x v="3"/>
    <x v="7"/>
    <n v="13"/>
    <n v="6000"/>
    <n v="48360"/>
    <n v="78000"/>
    <n v="35640"/>
  </r>
  <r>
    <s v="23-12-2026"/>
    <x v="2"/>
    <x v="3"/>
    <x v="4"/>
    <n v="16"/>
    <n v="12000"/>
    <n v="130560"/>
    <n v="192000"/>
    <n v="73440"/>
  </r>
  <r>
    <s v="17-03-2026"/>
    <x v="4"/>
    <x v="0"/>
    <x v="4"/>
    <n v="15"/>
    <n v="12000"/>
    <n v="122400"/>
    <n v="180000"/>
    <n v="69600"/>
  </r>
  <r>
    <s v="01-04-2026"/>
    <x v="7"/>
    <x v="0"/>
    <x v="1"/>
    <n v="16"/>
    <n v="3500"/>
    <n v="33600"/>
    <n v="56000"/>
    <n v="25900"/>
  </r>
  <r>
    <s v="04-03-2026"/>
    <x v="7"/>
    <x v="1"/>
    <x v="3"/>
    <n v="43"/>
    <n v="25000"/>
    <n v="752500"/>
    <n v="1075000"/>
    <n v="347500"/>
  </r>
  <r>
    <s v="29-09-2026"/>
    <x v="6"/>
    <x v="3"/>
    <x v="7"/>
    <n v="47"/>
    <n v="6000"/>
    <n v="174840"/>
    <n v="282000"/>
    <n v="113160"/>
  </r>
  <r>
    <s v="16-09-2026"/>
    <x v="2"/>
    <x v="3"/>
    <x v="8"/>
    <n v="48"/>
    <n v="15000"/>
    <n v="468000"/>
    <n v="720000"/>
    <n v="267000"/>
  </r>
  <r>
    <s v="01-09-2026"/>
    <x v="7"/>
    <x v="2"/>
    <x v="9"/>
    <n v="41"/>
    <n v="1500"/>
    <n v="33825"/>
    <n v="61500"/>
    <n v="29175"/>
  </r>
  <r>
    <s v="22-05-2026"/>
    <x v="7"/>
    <x v="1"/>
    <x v="0"/>
    <n v="29"/>
    <n v="800"/>
    <n v="11600"/>
    <n v="23200"/>
    <n v="12400"/>
  </r>
  <r>
    <s v="09-02-2026"/>
    <x v="5"/>
    <x v="1"/>
    <x v="0"/>
    <n v="22"/>
    <n v="800"/>
    <n v="8800"/>
    <n v="17600"/>
    <n v="9600"/>
  </r>
  <r>
    <s v="13-06-2026"/>
    <x v="0"/>
    <x v="1"/>
    <x v="8"/>
    <n v="15"/>
    <n v="15000"/>
    <n v="146250"/>
    <n v="225000"/>
    <n v="93750"/>
  </r>
  <r>
    <s v="16-07-2026"/>
    <x v="1"/>
    <x v="1"/>
    <x v="6"/>
    <n v="27"/>
    <n v="45000"/>
    <n v="850500"/>
    <n v="1215000"/>
    <n v="409500"/>
  </r>
  <r>
    <s v="28-07-2026"/>
    <x v="6"/>
    <x v="3"/>
    <x v="4"/>
    <n v="4"/>
    <n v="12000"/>
    <n v="32640"/>
    <n v="48000"/>
    <n v="27360"/>
  </r>
  <r>
    <s v="16-04-2026"/>
    <x v="2"/>
    <x v="3"/>
    <x v="7"/>
    <n v="45"/>
    <n v="6000"/>
    <n v="167400"/>
    <n v="270000"/>
    <n v="108600"/>
  </r>
  <r>
    <s v="11-01-2026"/>
    <x v="2"/>
    <x v="3"/>
    <x v="2"/>
    <n v="23"/>
    <n v="55000"/>
    <n v="910800"/>
    <n v="1265000"/>
    <n v="409200"/>
  </r>
  <r>
    <s v="02-06-2026"/>
    <x v="2"/>
    <x v="3"/>
    <x v="1"/>
    <n v="48"/>
    <n v="3500"/>
    <n v="100800"/>
    <n v="168000"/>
    <n v="70700"/>
  </r>
  <r>
    <s v="07-10-2026"/>
    <x v="3"/>
    <x v="3"/>
    <x v="9"/>
    <n v="18"/>
    <n v="1500"/>
    <n v="14850"/>
    <n v="27000"/>
    <n v="13650"/>
  </r>
  <r>
    <s v="12-08-2026"/>
    <x v="7"/>
    <x v="0"/>
    <x v="4"/>
    <n v="22"/>
    <n v="12000"/>
    <n v="179520"/>
    <n v="264000"/>
    <n v="96480"/>
  </r>
  <r>
    <s v="09-12-2026"/>
    <x v="2"/>
    <x v="1"/>
    <x v="3"/>
    <n v="9"/>
    <n v="25000"/>
    <n v="157500"/>
    <n v="225000"/>
    <n v="92500"/>
  </r>
  <r>
    <s v="15-11-2026"/>
    <x v="4"/>
    <x v="3"/>
    <x v="7"/>
    <n v="37"/>
    <n v="6000"/>
    <n v="137640"/>
    <n v="222000"/>
    <n v="90360"/>
  </r>
  <r>
    <s v="06-12-2026"/>
    <x v="4"/>
    <x v="0"/>
    <x v="4"/>
    <n v="9"/>
    <n v="12000"/>
    <n v="73440"/>
    <n v="108000"/>
    <n v="46560"/>
  </r>
  <r>
    <s v="25-08-2026"/>
    <x v="1"/>
    <x v="0"/>
    <x v="0"/>
    <n v="25"/>
    <n v="800"/>
    <n v="10000"/>
    <n v="20000"/>
    <n v="10800"/>
  </r>
  <r>
    <s v="17-06-2026"/>
    <x v="3"/>
    <x v="3"/>
    <x v="5"/>
    <n v="22"/>
    <n v="2200"/>
    <n v="28072"/>
    <n v="48400"/>
    <n v="22528"/>
  </r>
  <r>
    <s v="14-07-2026"/>
    <x v="5"/>
    <x v="3"/>
    <x v="0"/>
    <n v="6"/>
    <n v="800"/>
    <n v="2400"/>
    <n v="4800"/>
    <n v="3200"/>
  </r>
  <r>
    <s v="29-08-2026"/>
    <x v="4"/>
    <x v="0"/>
    <x v="5"/>
    <n v="15"/>
    <n v="2200"/>
    <n v="19140"/>
    <n v="33000"/>
    <n v="16060"/>
  </r>
  <r>
    <s v="29-11-2026"/>
    <x v="0"/>
    <x v="0"/>
    <x v="2"/>
    <n v="16"/>
    <n v="55000"/>
    <n v="633600"/>
    <n v="880000"/>
    <n v="301400"/>
  </r>
  <r>
    <s v="13-04-2026"/>
    <x v="4"/>
    <x v="1"/>
    <x v="9"/>
    <n v="9"/>
    <n v="1500"/>
    <n v="7425"/>
    <n v="13500"/>
    <n v="7575"/>
  </r>
  <r>
    <s v="31-08-2026"/>
    <x v="0"/>
    <x v="1"/>
    <x v="3"/>
    <n v="45"/>
    <n v="25000"/>
    <n v="787500"/>
    <n v="1125000"/>
    <n v="362500"/>
  </r>
  <r>
    <s v="12-05-2026"/>
    <x v="6"/>
    <x v="1"/>
    <x v="7"/>
    <n v="39"/>
    <n v="6000"/>
    <n v="145080"/>
    <n v="234000"/>
    <n v="94920"/>
  </r>
  <r>
    <s v="28-02-2026"/>
    <x v="1"/>
    <x v="2"/>
    <x v="6"/>
    <n v="38"/>
    <n v="45000"/>
    <n v="1197000"/>
    <n v="1710000"/>
    <n v="558000"/>
  </r>
  <r>
    <s v="14-01-2026"/>
    <x v="5"/>
    <x v="3"/>
    <x v="4"/>
    <n v="46"/>
    <n v="12000"/>
    <n v="375360"/>
    <n v="552000"/>
    <n v="188640"/>
  </r>
  <r>
    <s v="12-04-2026"/>
    <x v="0"/>
    <x v="1"/>
    <x v="6"/>
    <n v="45"/>
    <n v="45000"/>
    <n v="1417500"/>
    <n v="2025000"/>
    <n v="652500"/>
  </r>
  <r>
    <s v="04-06-2026"/>
    <x v="0"/>
    <x v="0"/>
    <x v="5"/>
    <n v="35"/>
    <n v="2200"/>
    <n v="44660"/>
    <n v="77000"/>
    <n v="34540"/>
  </r>
  <r>
    <s v="08-08-2026"/>
    <x v="6"/>
    <x v="0"/>
    <x v="1"/>
    <n v="42"/>
    <n v="3500"/>
    <n v="88200"/>
    <n v="147000"/>
    <n v="62300"/>
  </r>
  <r>
    <s v="24-06-2026"/>
    <x v="4"/>
    <x v="3"/>
    <x v="3"/>
    <n v="7"/>
    <n v="25000"/>
    <n v="122500"/>
    <n v="175000"/>
    <n v="77500"/>
  </r>
  <r>
    <s v="10-08-2026"/>
    <x v="6"/>
    <x v="3"/>
    <x v="8"/>
    <n v="28"/>
    <n v="15000"/>
    <n v="273000"/>
    <n v="420000"/>
    <n v="162000"/>
  </r>
  <r>
    <s v="01-04-2026"/>
    <x v="5"/>
    <x v="3"/>
    <x v="3"/>
    <n v="28"/>
    <n v="25000"/>
    <n v="490000"/>
    <n v="700000"/>
    <n v="235000"/>
  </r>
  <r>
    <s v="31-10-2026"/>
    <x v="5"/>
    <x v="2"/>
    <x v="9"/>
    <n v="6"/>
    <n v="1500"/>
    <n v="4950"/>
    <n v="9000"/>
    <n v="5550"/>
  </r>
  <r>
    <s v="23-05-2026"/>
    <x v="7"/>
    <x v="1"/>
    <x v="3"/>
    <n v="37"/>
    <n v="25000"/>
    <n v="647500"/>
    <n v="925000"/>
    <n v="302500"/>
  </r>
  <r>
    <s v="09-11-2026"/>
    <x v="2"/>
    <x v="2"/>
    <x v="2"/>
    <n v="32"/>
    <n v="55000"/>
    <n v="1267200"/>
    <n v="1760000"/>
    <n v="547800"/>
  </r>
  <r>
    <s v="16-06-2026"/>
    <x v="1"/>
    <x v="3"/>
    <x v="9"/>
    <n v="23"/>
    <n v="1500"/>
    <n v="18975"/>
    <n v="34500"/>
    <n v="17025"/>
  </r>
  <r>
    <s v="13-05-2026"/>
    <x v="6"/>
    <x v="2"/>
    <x v="7"/>
    <n v="45"/>
    <n v="6000"/>
    <n v="167400"/>
    <n v="270000"/>
    <n v="108600"/>
  </r>
  <r>
    <s v="22-05-2026"/>
    <x v="4"/>
    <x v="1"/>
    <x v="6"/>
    <n v="16"/>
    <n v="45000"/>
    <n v="504000"/>
    <n v="720000"/>
    <n v="261000"/>
  </r>
  <r>
    <s v="28-07-2026"/>
    <x v="7"/>
    <x v="1"/>
    <x v="3"/>
    <n v="42"/>
    <n v="25000"/>
    <n v="735000"/>
    <n v="1050000"/>
    <n v="340000"/>
  </r>
  <r>
    <s v="31-12-2026"/>
    <x v="7"/>
    <x v="3"/>
    <x v="2"/>
    <n v="6"/>
    <n v="55000"/>
    <n v="237600"/>
    <n v="330000"/>
    <n v="147400"/>
  </r>
  <r>
    <s v="31-05-2026"/>
    <x v="3"/>
    <x v="3"/>
    <x v="9"/>
    <n v="20"/>
    <n v="1500"/>
    <n v="16500"/>
    <n v="30000"/>
    <n v="15000"/>
  </r>
  <r>
    <s v="06-12-2026"/>
    <x v="6"/>
    <x v="3"/>
    <x v="1"/>
    <n v="34"/>
    <n v="3500"/>
    <n v="71400"/>
    <n v="119000"/>
    <n v="51100"/>
  </r>
  <r>
    <s v="26-06-2026"/>
    <x v="2"/>
    <x v="2"/>
    <x v="5"/>
    <n v="45"/>
    <n v="2200"/>
    <n v="57420"/>
    <n v="99000"/>
    <n v="43780"/>
  </r>
  <r>
    <s v="21-08-2026"/>
    <x v="5"/>
    <x v="2"/>
    <x v="0"/>
    <n v="15"/>
    <n v="800"/>
    <n v="6000"/>
    <n v="12000"/>
    <n v="6800"/>
  </r>
  <r>
    <s v="03-03-2026"/>
    <x v="3"/>
    <x v="2"/>
    <x v="6"/>
    <n v="48"/>
    <n v="45000"/>
    <n v="1512000"/>
    <n v="2160000"/>
    <n v="693000"/>
  </r>
  <r>
    <s v="02-10-2026"/>
    <x v="1"/>
    <x v="1"/>
    <x v="9"/>
    <n v="48"/>
    <n v="1500"/>
    <n v="39600"/>
    <n v="72000"/>
    <n v="33900"/>
  </r>
  <r>
    <s v="05-09-2026"/>
    <x v="5"/>
    <x v="2"/>
    <x v="6"/>
    <n v="13"/>
    <n v="45000"/>
    <n v="409500"/>
    <n v="585000"/>
    <n v="220500"/>
  </r>
  <r>
    <s v="01-06-2026"/>
    <x v="3"/>
    <x v="2"/>
    <x v="8"/>
    <n v="20"/>
    <n v="15000"/>
    <n v="195000"/>
    <n v="300000"/>
    <n v="120000"/>
  </r>
  <r>
    <s v="08-01-2026"/>
    <x v="1"/>
    <x v="2"/>
    <x v="2"/>
    <n v="4"/>
    <n v="55000"/>
    <n v="158400"/>
    <n v="220000"/>
    <n v="116600"/>
  </r>
  <r>
    <s v="11-10-2026"/>
    <x v="5"/>
    <x v="1"/>
    <x v="3"/>
    <n v="7"/>
    <n v="25000"/>
    <n v="122500"/>
    <n v="175000"/>
    <n v="77500"/>
  </r>
  <r>
    <s v="07-01-2026"/>
    <x v="5"/>
    <x v="3"/>
    <x v="3"/>
    <n v="29"/>
    <n v="25000"/>
    <n v="507500"/>
    <n v="725000"/>
    <n v="242500"/>
  </r>
  <r>
    <s v="24-06-2026"/>
    <x v="1"/>
    <x v="0"/>
    <x v="0"/>
    <n v="31"/>
    <n v="800"/>
    <n v="12400"/>
    <n v="24800"/>
    <n v="13200"/>
  </r>
  <r>
    <s v="28-02-2026"/>
    <x v="0"/>
    <x v="3"/>
    <x v="3"/>
    <n v="5"/>
    <n v="25000"/>
    <n v="87500"/>
    <n v="125000"/>
    <n v="62500"/>
  </r>
  <r>
    <s v="23-10-2026"/>
    <x v="4"/>
    <x v="1"/>
    <x v="8"/>
    <n v="37"/>
    <n v="15000"/>
    <n v="360750"/>
    <n v="555000"/>
    <n v="209250"/>
  </r>
  <r>
    <s v="05-06-2026"/>
    <x v="0"/>
    <x v="1"/>
    <x v="6"/>
    <n v="36"/>
    <n v="45000"/>
    <n v="1134000"/>
    <n v="1620000"/>
    <n v="531000"/>
  </r>
  <r>
    <s v="02-08-2026"/>
    <x v="3"/>
    <x v="3"/>
    <x v="3"/>
    <n v="29"/>
    <n v="25000"/>
    <n v="507500"/>
    <n v="725000"/>
    <n v="242500"/>
  </r>
  <r>
    <s v="02-06-2026"/>
    <x v="2"/>
    <x v="2"/>
    <x v="7"/>
    <n v="40"/>
    <n v="6000"/>
    <n v="148800"/>
    <n v="240000"/>
    <n v="97200"/>
  </r>
  <r>
    <s v="31-01-2026"/>
    <x v="0"/>
    <x v="1"/>
    <x v="9"/>
    <n v="17"/>
    <n v="1500"/>
    <n v="14025"/>
    <n v="25500"/>
    <n v="12975"/>
  </r>
  <r>
    <s v="05-12-2026"/>
    <x v="0"/>
    <x v="1"/>
    <x v="9"/>
    <n v="12"/>
    <n v="1500"/>
    <n v="9900"/>
    <n v="18000"/>
    <n v="9600"/>
  </r>
  <r>
    <s v="10-10-2026"/>
    <x v="0"/>
    <x v="1"/>
    <x v="2"/>
    <n v="27"/>
    <n v="55000"/>
    <n v="1069200"/>
    <n v="1485000"/>
    <n v="470800"/>
  </r>
  <r>
    <s v="19-08-2026"/>
    <x v="7"/>
    <x v="2"/>
    <x v="2"/>
    <n v="15"/>
    <n v="55000"/>
    <n v="594000"/>
    <n v="825000"/>
    <n v="286000"/>
  </r>
  <r>
    <s v="28-05-2026"/>
    <x v="5"/>
    <x v="3"/>
    <x v="6"/>
    <n v="44"/>
    <n v="45000"/>
    <n v="1386000"/>
    <n v="1980000"/>
    <n v="639000"/>
  </r>
  <r>
    <s v="30-04-2026"/>
    <x v="5"/>
    <x v="1"/>
    <x v="4"/>
    <n v="8"/>
    <n v="12000"/>
    <n v="65280"/>
    <n v="96000"/>
    <n v="42720"/>
  </r>
  <r>
    <s v="06-10-2026"/>
    <x v="3"/>
    <x v="1"/>
    <x v="0"/>
    <n v="10"/>
    <n v="800"/>
    <n v="4000"/>
    <n v="8000"/>
    <n v="4800"/>
  </r>
  <r>
    <s v="06-02-2026"/>
    <x v="4"/>
    <x v="1"/>
    <x v="0"/>
    <n v="39"/>
    <n v="800"/>
    <n v="15600"/>
    <n v="31200"/>
    <n v="16400"/>
  </r>
  <r>
    <s v="19-10-2026"/>
    <x v="5"/>
    <x v="3"/>
    <x v="6"/>
    <n v="30"/>
    <n v="45000"/>
    <n v="945000"/>
    <n v="1350000"/>
    <n v="450000"/>
  </r>
  <r>
    <s v="19-12-2026"/>
    <x v="5"/>
    <x v="3"/>
    <x v="0"/>
    <n v="33"/>
    <n v="800"/>
    <n v="13200"/>
    <n v="26400"/>
    <n v="14000"/>
  </r>
  <r>
    <s v="04-10-2026"/>
    <x v="7"/>
    <x v="3"/>
    <x v="6"/>
    <n v="39"/>
    <n v="45000"/>
    <n v="1228500"/>
    <n v="1755000"/>
    <n v="571500"/>
  </r>
  <r>
    <s v="21-01-2026"/>
    <x v="2"/>
    <x v="2"/>
    <x v="7"/>
    <n v="17"/>
    <n v="6000"/>
    <n v="63240"/>
    <n v="102000"/>
    <n v="44760"/>
  </r>
  <r>
    <s v="14-01-2026"/>
    <x v="0"/>
    <x v="1"/>
    <x v="7"/>
    <n v="38"/>
    <n v="6000"/>
    <n v="141360"/>
    <n v="228000"/>
    <n v="92640"/>
  </r>
  <r>
    <s v="11-01-2026"/>
    <x v="5"/>
    <x v="0"/>
    <x v="8"/>
    <n v="31"/>
    <n v="15000"/>
    <n v="302250"/>
    <n v="465000"/>
    <n v="177750"/>
  </r>
  <r>
    <s v="23-09-2026"/>
    <x v="7"/>
    <x v="2"/>
    <x v="8"/>
    <n v="38"/>
    <n v="15000"/>
    <n v="370500"/>
    <n v="570000"/>
    <n v="214500"/>
  </r>
  <r>
    <s v="12-08-2026"/>
    <x v="7"/>
    <x v="0"/>
    <x v="3"/>
    <n v="23"/>
    <n v="25000"/>
    <n v="402500"/>
    <n v="575000"/>
    <n v="197500"/>
  </r>
  <r>
    <s v="29-07-2026"/>
    <x v="6"/>
    <x v="2"/>
    <x v="6"/>
    <n v="11"/>
    <n v="45000"/>
    <n v="346500"/>
    <n v="495000"/>
    <n v="193500"/>
  </r>
  <r>
    <s v="18-06-2026"/>
    <x v="2"/>
    <x v="3"/>
    <x v="0"/>
    <n v="43"/>
    <n v="800"/>
    <n v="17200"/>
    <n v="34400"/>
    <n v="18000"/>
  </r>
  <r>
    <s v="25-07-2026"/>
    <x v="4"/>
    <x v="3"/>
    <x v="6"/>
    <n v="21"/>
    <n v="45000"/>
    <n v="661500"/>
    <n v="945000"/>
    <n v="328500"/>
  </r>
  <r>
    <s v="10-05-2026"/>
    <x v="6"/>
    <x v="0"/>
    <x v="4"/>
    <n v="33"/>
    <n v="12000"/>
    <n v="269280"/>
    <n v="396000"/>
    <n v="138720"/>
  </r>
  <r>
    <s v="01-01-2026"/>
    <x v="7"/>
    <x v="3"/>
    <x v="2"/>
    <n v="13"/>
    <n v="55000"/>
    <n v="514800"/>
    <n v="715000"/>
    <n v="255200"/>
  </r>
  <r>
    <s v="23-09-2026"/>
    <x v="6"/>
    <x v="3"/>
    <x v="3"/>
    <n v="49"/>
    <n v="25000"/>
    <n v="857500"/>
    <n v="1225000"/>
    <n v="392500"/>
  </r>
  <r>
    <s v="27-01-2026"/>
    <x v="3"/>
    <x v="2"/>
    <x v="1"/>
    <n v="9"/>
    <n v="3500"/>
    <n v="18900"/>
    <n v="31500"/>
    <n v="16100"/>
  </r>
  <r>
    <s v="28-05-2026"/>
    <x v="7"/>
    <x v="3"/>
    <x v="6"/>
    <n v="2"/>
    <n v="45000"/>
    <n v="63000"/>
    <n v="90000"/>
    <n v="72000"/>
  </r>
  <r>
    <s v="19-11-2026"/>
    <x v="3"/>
    <x v="1"/>
    <x v="0"/>
    <n v="36"/>
    <n v="800"/>
    <n v="14400"/>
    <n v="28800"/>
    <n v="15200"/>
  </r>
  <r>
    <s v="08-01-2026"/>
    <x v="2"/>
    <x v="0"/>
    <x v="9"/>
    <n v="8"/>
    <n v="1500"/>
    <n v="6600"/>
    <n v="12000"/>
    <n v="6900"/>
  </r>
  <r>
    <s v="25-08-2026"/>
    <x v="0"/>
    <x v="1"/>
    <x v="3"/>
    <n v="46"/>
    <n v="25000"/>
    <n v="805000"/>
    <n v="1150000"/>
    <n v="370000"/>
  </r>
  <r>
    <s v="30-05-2026"/>
    <x v="5"/>
    <x v="3"/>
    <x v="3"/>
    <n v="31"/>
    <n v="25000"/>
    <n v="542500"/>
    <n v="775000"/>
    <n v="257500"/>
  </r>
  <r>
    <s v="05-05-2026"/>
    <x v="7"/>
    <x v="1"/>
    <x v="4"/>
    <n v="13"/>
    <n v="12000"/>
    <n v="106080"/>
    <n v="156000"/>
    <n v="61920"/>
  </r>
  <r>
    <s v="03-11-2026"/>
    <x v="1"/>
    <x v="0"/>
    <x v="0"/>
    <n v="50"/>
    <n v="800"/>
    <n v="20000"/>
    <n v="40000"/>
    <n v="20800"/>
  </r>
  <r>
    <s v="01-08-2026"/>
    <x v="6"/>
    <x v="2"/>
    <x v="2"/>
    <n v="19"/>
    <n v="55000"/>
    <n v="752400"/>
    <n v="1045000"/>
    <n v="347600"/>
  </r>
  <r>
    <s v="02-06-2026"/>
    <x v="7"/>
    <x v="1"/>
    <x v="3"/>
    <n v="35"/>
    <n v="25000"/>
    <n v="612500"/>
    <n v="875000"/>
    <n v="287500"/>
  </r>
  <r>
    <s v="05-09-2026"/>
    <x v="6"/>
    <x v="2"/>
    <x v="1"/>
    <n v="49"/>
    <n v="3500"/>
    <n v="102900"/>
    <n v="171500"/>
    <n v="72100"/>
  </r>
  <r>
    <s v="06-10-2026"/>
    <x v="2"/>
    <x v="3"/>
    <x v="5"/>
    <n v="13"/>
    <n v="2200"/>
    <n v="16588"/>
    <n v="28600"/>
    <n v="14212"/>
  </r>
  <r>
    <s v="24-12-2026"/>
    <x v="3"/>
    <x v="3"/>
    <x v="9"/>
    <n v="50"/>
    <n v="1500"/>
    <n v="41250"/>
    <n v="75000"/>
    <n v="35250"/>
  </r>
  <r>
    <s v="30-07-2026"/>
    <x v="4"/>
    <x v="2"/>
    <x v="3"/>
    <n v="46"/>
    <n v="25000"/>
    <n v="805000"/>
    <n v="1150000"/>
    <n v="370000"/>
  </r>
  <r>
    <s v="15-07-2026"/>
    <x v="2"/>
    <x v="1"/>
    <x v="3"/>
    <n v="3"/>
    <n v="25000"/>
    <n v="52500"/>
    <n v="75000"/>
    <n v="47500"/>
  </r>
  <r>
    <s v="06-03-2026"/>
    <x v="6"/>
    <x v="0"/>
    <x v="3"/>
    <n v="7"/>
    <n v="25000"/>
    <n v="122500"/>
    <n v="175000"/>
    <n v="77500"/>
  </r>
  <r>
    <s v="27-09-2026"/>
    <x v="7"/>
    <x v="0"/>
    <x v="8"/>
    <n v="27"/>
    <n v="15000"/>
    <n v="263250"/>
    <n v="405000"/>
    <n v="156750"/>
  </r>
  <r>
    <s v="02-12-2026"/>
    <x v="1"/>
    <x v="0"/>
    <x v="3"/>
    <n v="17"/>
    <n v="25000"/>
    <n v="297500"/>
    <n v="425000"/>
    <n v="152500"/>
  </r>
  <r>
    <s v="23-06-2026"/>
    <x v="2"/>
    <x v="0"/>
    <x v="5"/>
    <n v="44"/>
    <n v="2200"/>
    <n v="56144"/>
    <n v="96800"/>
    <n v="42856"/>
  </r>
  <r>
    <s v="01-10-2026"/>
    <x v="2"/>
    <x v="2"/>
    <x v="3"/>
    <n v="35"/>
    <n v="25000"/>
    <n v="612500"/>
    <n v="875000"/>
    <n v="287500"/>
  </r>
  <r>
    <s v="19-01-2026"/>
    <x v="0"/>
    <x v="1"/>
    <x v="0"/>
    <n v="15"/>
    <n v="800"/>
    <n v="6000"/>
    <n v="12000"/>
    <n v="6800"/>
  </r>
  <r>
    <s v="16-02-2026"/>
    <x v="2"/>
    <x v="0"/>
    <x v="6"/>
    <n v="29"/>
    <n v="45000"/>
    <n v="913500"/>
    <n v="1305000"/>
    <n v="436500"/>
  </r>
  <r>
    <s v="27-03-2026"/>
    <x v="5"/>
    <x v="0"/>
    <x v="2"/>
    <n v="21"/>
    <n v="55000"/>
    <n v="831600"/>
    <n v="1155000"/>
    <n v="378400"/>
  </r>
  <r>
    <s v="29-01-2026"/>
    <x v="5"/>
    <x v="2"/>
    <x v="5"/>
    <n v="28"/>
    <n v="2200"/>
    <n v="35728"/>
    <n v="61600"/>
    <n v="28072"/>
  </r>
  <r>
    <s v="16-03-2026"/>
    <x v="3"/>
    <x v="3"/>
    <x v="7"/>
    <n v="44"/>
    <n v="6000"/>
    <n v="163680"/>
    <n v="264000"/>
    <n v="106320"/>
  </r>
  <r>
    <s v="03-04-2026"/>
    <x v="1"/>
    <x v="1"/>
    <x v="6"/>
    <n v="40"/>
    <n v="45000"/>
    <n v="1260000"/>
    <n v="1800000"/>
    <n v="585000"/>
  </r>
  <r>
    <s v="15-07-2026"/>
    <x v="3"/>
    <x v="3"/>
    <x v="7"/>
    <n v="10"/>
    <n v="6000"/>
    <n v="37200"/>
    <n v="60000"/>
    <n v="28800"/>
  </r>
  <r>
    <s v="29-04-2026"/>
    <x v="7"/>
    <x v="2"/>
    <x v="3"/>
    <n v="17"/>
    <n v="25000"/>
    <n v="297500"/>
    <n v="425000"/>
    <n v="152500"/>
  </r>
  <r>
    <s v="08-12-2026"/>
    <x v="4"/>
    <x v="3"/>
    <x v="0"/>
    <n v="44"/>
    <n v="800"/>
    <n v="17600"/>
    <n v="35200"/>
    <n v="18400"/>
  </r>
  <r>
    <s v="07-10-2026"/>
    <x v="1"/>
    <x v="0"/>
    <x v="3"/>
    <n v="23"/>
    <n v="25000"/>
    <n v="402500"/>
    <n v="575000"/>
    <n v="197500"/>
  </r>
  <r>
    <s v="28-10-2026"/>
    <x v="5"/>
    <x v="3"/>
    <x v="0"/>
    <n v="30"/>
    <n v="800"/>
    <n v="12000"/>
    <n v="24000"/>
    <n v="12800"/>
  </r>
  <r>
    <s v="04-06-2026"/>
    <x v="3"/>
    <x v="3"/>
    <x v="3"/>
    <n v="7"/>
    <n v="25000"/>
    <n v="122500"/>
    <n v="175000"/>
    <n v="77500"/>
  </r>
  <r>
    <s v="02-05-2026"/>
    <x v="2"/>
    <x v="2"/>
    <x v="7"/>
    <n v="19"/>
    <n v="6000"/>
    <n v="70680"/>
    <n v="114000"/>
    <n v="49320"/>
  </r>
  <r>
    <s v="25-12-2026"/>
    <x v="5"/>
    <x v="0"/>
    <x v="4"/>
    <n v="18"/>
    <n v="12000"/>
    <n v="146880"/>
    <n v="216000"/>
    <n v="81120"/>
  </r>
  <r>
    <s v="05-01-2026"/>
    <x v="4"/>
    <x v="3"/>
    <x v="0"/>
    <n v="50"/>
    <n v="800"/>
    <n v="20000"/>
    <n v="40000"/>
    <n v="20800"/>
  </r>
  <r>
    <s v="28-04-2026"/>
    <x v="6"/>
    <x v="1"/>
    <x v="9"/>
    <n v="40"/>
    <n v="1500"/>
    <n v="33000"/>
    <n v="60000"/>
    <n v="28500"/>
  </r>
  <r>
    <s v="09-05-2026"/>
    <x v="1"/>
    <x v="0"/>
    <x v="2"/>
    <n v="20"/>
    <n v="55000"/>
    <n v="792000"/>
    <n v="1100000"/>
    <n v="363000"/>
  </r>
  <r>
    <s v="14-08-2026"/>
    <x v="4"/>
    <x v="2"/>
    <x v="8"/>
    <n v="6"/>
    <n v="15000"/>
    <n v="58500"/>
    <n v="90000"/>
    <n v="46500"/>
  </r>
  <r>
    <s v="01-06-2026"/>
    <x v="6"/>
    <x v="3"/>
    <x v="8"/>
    <n v="13"/>
    <n v="15000"/>
    <n v="126750"/>
    <n v="195000"/>
    <n v="83250"/>
  </r>
  <r>
    <s v="09-03-2026"/>
    <x v="6"/>
    <x v="2"/>
    <x v="8"/>
    <n v="17"/>
    <n v="15000"/>
    <n v="165750"/>
    <n v="255000"/>
    <n v="104250"/>
  </r>
  <r>
    <s v="04-09-2026"/>
    <x v="5"/>
    <x v="2"/>
    <x v="6"/>
    <n v="30"/>
    <n v="45000"/>
    <n v="945000"/>
    <n v="1350000"/>
    <n v="450000"/>
  </r>
  <r>
    <s v="08-02-2026"/>
    <x v="1"/>
    <x v="1"/>
    <x v="4"/>
    <n v="36"/>
    <n v="12000"/>
    <n v="293760"/>
    <n v="432000"/>
    <n v="150240"/>
  </r>
  <r>
    <s v="07-07-2026"/>
    <x v="0"/>
    <x v="3"/>
    <x v="2"/>
    <n v="17"/>
    <n v="55000"/>
    <n v="673200"/>
    <n v="935000"/>
    <n v="316800"/>
  </r>
  <r>
    <s v="02-10-2026"/>
    <x v="0"/>
    <x v="3"/>
    <x v="5"/>
    <n v="44"/>
    <n v="2200"/>
    <n v="56144"/>
    <n v="96800"/>
    <n v="42856"/>
  </r>
  <r>
    <s v="11-12-2026"/>
    <x v="5"/>
    <x v="3"/>
    <x v="5"/>
    <n v="7"/>
    <n v="2200"/>
    <n v="8932"/>
    <n v="15400"/>
    <n v="8668"/>
  </r>
  <r>
    <s v="12-12-2026"/>
    <x v="3"/>
    <x v="3"/>
    <x v="2"/>
    <n v="40"/>
    <n v="55000"/>
    <n v="1584000"/>
    <n v="2200000"/>
    <n v="671000"/>
  </r>
  <r>
    <s v="15-10-2026"/>
    <x v="6"/>
    <x v="1"/>
    <x v="6"/>
    <n v="41"/>
    <n v="45000"/>
    <n v="1291500"/>
    <n v="1845000"/>
    <n v="598500"/>
  </r>
  <r>
    <s v="26-08-2026"/>
    <x v="5"/>
    <x v="3"/>
    <x v="6"/>
    <n v="9"/>
    <n v="45000"/>
    <n v="283500"/>
    <n v="405000"/>
    <n v="166500"/>
  </r>
  <r>
    <s v="24-01-2026"/>
    <x v="4"/>
    <x v="2"/>
    <x v="3"/>
    <n v="8"/>
    <n v="25000"/>
    <n v="140000"/>
    <n v="200000"/>
    <n v="85000"/>
  </r>
  <r>
    <s v="19-02-2026"/>
    <x v="3"/>
    <x v="1"/>
    <x v="4"/>
    <n v="30"/>
    <n v="12000"/>
    <n v="244800"/>
    <n v="360000"/>
    <n v="127200"/>
  </r>
  <r>
    <s v="09-07-2026"/>
    <x v="2"/>
    <x v="1"/>
    <x v="4"/>
    <n v="42"/>
    <n v="12000"/>
    <n v="342720"/>
    <n v="504000"/>
    <n v="173280"/>
  </r>
  <r>
    <s v="20-02-2026"/>
    <x v="7"/>
    <x v="3"/>
    <x v="0"/>
    <n v="3"/>
    <n v="800"/>
    <n v="1200"/>
    <n v="2400"/>
    <n v="2000"/>
  </r>
  <r>
    <s v="20-12-2026"/>
    <x v="6"/>
    <x v="1"/>
    <x v="3"/>
    <n v="29"/>
    <n v="25000"/>
    <n v="507500"/>
    <n v="725000"/>
    <n v="242500"/>
  </r>
  <r>
    <s v="01-05-2026"/>
    <x v="6"/>
    <x v="0"/>
    <x v="5"/>
    <n v="35"/>
    <n v="2200"/>
    <n v="44660"/>
    <n v="77000"/>
    <n v="34540"/>
  </r>
  <r>
    <s v="27-11-2026"/>
    <x v="6"/>
    <x v="0"/>
    <x v="4"/>
    <n v="18"/>
    <n v="12000"/>
    <n v="146880"/>
    <n v="216000"/>
    <n v="81120"/>
  </r>
  <r>
    <s v="08-04-2026"/>
    <x v="0"/>
    <x v="3"/>
    <x v="6"/>
    <n v="43"/>
    <n v="45000"/>
    <n v="1354500"/>
    <n v="1935000"/>
    <n v="625500"/>
  </r>
  <r>
    <s v="19-04-2026"/>
    <x v="4"/>
    <x v="0"/>
    <x v="5"/>
    <n v="16"/>
    <n v="2200"/>
    <n v="20416"/>
    <n v="35200"/>
    <n v="16984"/>
  </r>
  <r>
    <s v="06-03-2026"/>
    <x v="3"/>
    <x v="0"/>
    <x v="1"/>
    <n v="14"/>
    <n v="3500"/>
    <n v="29400"/>
    <n v="49000"/>
    <n v="23100"/>
  </r>
  <r>
    <s v="28-10-2026"/>
    <x v="3"/>
    <x v="1"/>
    <x v="5"/>
    <n v="50"/>
    <n v="2200"/>
    <n v="63800"/>
    <n v="110000"/>
    <n v="48400"/>
  </r>
  <r>
    <s v="17-03-2026"/>
    <x v="4"/>
    <x v="2"/>
    <x v="8"/>
    <n v="9"/>
    <n v="15000"/>
    <n v="87750"/>
    <n v="135000"/>
    <n v="62250"/>
  </r>
  <r>
    <s v="04-10-2026"/>
    <x v="5"/>
    <x v="1"/>
    <x v="6"/>
    <n v="43"/>
    <n v="45000"/>
    <n v="1354500"/>
    <n v="1935000"/>
    <n v="625500"/>
  </r>
  <r>
    <s v="14-01-2026"/>
    <x v="1"/>
    <x v="0"/>
    <x v="5"/>
    <n v="16"/>
    <n v="2200"/>
    <n v="20416"/>
    <n v="35200"/>
    <n v="16984"/>
  </r>
  <r>
    <s v="29-10-2026"/>
    <x v="6"/>
    <x v="0"/>
    <x v="8"/>
    <n v="17"/>
    <n v="15000"/>
    <n v="165750"/>
    <n v="255000"/>
    <n v="104250"/>
  </r>
  <r>
    <s v="27-01-2026"/>
    <x v="1"/>
    <x v="3"/>
    <x v="1"/>
    <n v="8"/>
    <n v="3500"/>
    <n v="16800"/>
    <n v="28000"/>
    <n v="14700"/>
  </r>
  <r>
    <s v="02-02-2026"/>
    <x v="7"/>
    <x v="3"/>
    <x v="5"/>
    <n v="33"/>
    <n v="2200"/>
    <n v="42108"/>
    <n v="72600"/>
    <n v="32692"/>
  </r>
  <r>
    <s v="31-10-2026"/>
    <x v="0"/>
    <x v="3"/>
    <x v="1"/>
    <n v="15"/>
    <n v="3500"/>
    <n v="31500"/>
    <n v="52500"/>
    <n v="24500"/>
  </r>
  <r>
    <s v="11-11-2026"/>
    <x v="4"/>
    <x v="2"/>
    <x v="3"/>
    <n v="42"/>
    <n v="25000"/>
    <n v="735000"/>
    <n v="1050000"/>
    <n v="340000"/>
  </r>
  <r>
    <s v="16-01-2026"/>
    <x v="4"/>
    <x v="3"/>
    <x v="4"/>
    <n v="28"/>
    <n v="12000"/>
    <n v="228480"/>
    <n v="336000"/>
    <n v="119520"/>
  </r>
  <r>
    <s v="18-12-2026"/>
    <x v="0"/>
    <x v="3"/>
    <x v="3"/>
    <n v="5"/>
    <n v="25000"/>
    <n v="87500"/>
    <n v="125000"/>
    <n v="62500"/>
  </r>
  <r>
    <s v="11-02-2026"/>
    <x v="6"/>
    <x v="1"/>
    <x v="6"/>
    <n v="9"/>
    <n v="45000"/>
    <n v="283500"/>
    <n v="405000"/>
    <n v="166500"/>
  </r>
  <r>
    <s v="21-05-2026"/>
    <x v="6"/>
    <x v="3"/>
    <x v="7"/>
    <n v="34"/>
    <n v="6000"/>
    <n v="126480"/>
    <n v="204000"/>
    <n v="83520"/>
  </r>
  <r>
    <s v="31-05-2026"/>
    <x v="7"/>
    <x v="3"/>
    <x v="6"/>
    <n v="45"/>
    <n v="45000"/>
    <n v="1417500"/>
    <n v="2025000"/>
    <n v="652500"/>
  </r>
  <r>
    <s v="28-02-2026"/>
    <x v="3"/>
    <x v="3"/>
    <x v="3"/>
    <n v="15"/>
    <n v="25000"/>
    <n v="262500"/>
    <n v="375000"/>
    <n v="137500"/>
  </r>
  <r>
    <s v="31-07-2026"/>
    <x v="6"/>
    <x v="3"/>
    <x v="4"/>
    <n v="27"/>
    <n v="12000"/>
    <n v="220320"/>
    <n v="324000"/>
    <n v="115680"/>
  </r>
  <r>
    <s v="18-02-2026"/>
    <x v="6"/>
    <x v="3"/>
    <x v="5"/>
    <n v="43"/>
    <n v="2200"/>
    <n v="54868"/>
    <n v="94600"/>
    <n v="41932"/>
  </r>
  <r>
    <s v="11-05-2026"/>
    <x v="6"/>
    <x v="1"/>
    <x v="3"/>
    <n v="5"/>
    <n v="25000"/>
    <n v="87500"/>
    <n v="125000"/>
    <n v="62500"/>
  </r>
  <r>
    <s v="16-02-2026"/>
    <x v="0"/>
    <x v="0"/>
    <x v="4"/>
    <n v="7"/>
    <n v="12000"/>
    <n v="57120"/>
    <n v="84000"/>
    <n v="38880"/>
  </r>
  <r>
    <s v="10-07-2026"/>
    <x v="1"/>
    <x v="0"/>
    <x v="7"/>
    <n v="36"/>
    <n v="6000"/>
    <n v="133920"/>
    <n v="216000"/>
    <n v="88080"/>
  </r>
  <r>
    <s v="15-10-2026"/>
    <x v="6"/>
    <x v="0"/>
    <x v="4"/>
    <n v="23"/>
    <n v="12000"/>
    <n v="187680"/>
    <n v="276000"/>
    <n v="100320"/>
  </r>
  <r>
    <s v="07-12-2026"/>
    <x v="2"/>
    <x v="0"/>
    <x v="0"/>
    <n v="39"/>
    <n v="800"/>
    <n v="15600"/>
    <n v="31200"/>
    <n v="16400"/>
  </r>
  <r>
    <s v="09-06-2026"/>
    <x v="6"/>
    <x v="0"/>
    <x v="7"/>
    <n v="33"/>
    <n v="6000"/>
    <n v="122760"/>
    <n v="198000"/>
    <n v="81240"/>
  </r>
  <r>
    <s v="19-04-2026"/>
    <x v="1"/>
    <x v="3"/>
    <x v="9"/>
    <n v="7"/>
    <n v="1500"/>
    <n v="5775"/>
    <n v="10500"/>
    <n v="6225"/>
  </r>
  <r>
    <s v="29-06-2026"/>
    <x v="6"/>
    <x v="0"/>
    <x v="0"/>
    <n v="37"/>
    <n v="800"/>
    <n v="14800"/>
    <n v="29600"/>
    <n v="15600"/>
  </r>
  <r>
    <s v="26-04-2026"/>
    <x v="2"/>
    <x v="0"/>
    <x v="7"/>
    <n v="43"/>
    <n v="6000"/>
    <n v="159960"/>
    <n v="258000"/>
    <n v="104040"/>
  </r>
  <r>
    <s v="22-12-2026"/>
    <x v="5"/>
    <x v="0"/>
    <x v="8"/>
    <n v="18"/>
    <n v="15000"/>
    <n v="175500"/>
    <n v="270000"/>
    <n v="109500"/>
  </r>
  <r>
    <s v="26-12-2026"/>
    <x v="5"/>
    <x v="2"/>
    <x v="5"/>
    <n v="1"/>
    <n v="2200"/>
    <n v="1276"/>
    <n v="2200"/>
    <n v="3124"/>
  </r>
  <r>
    <s v="03-04-2026"/>
    <x v="1"/>
    <x v="3"/>
    <x v="6"/>
    <n v="10"/>
    <n v="45000"/>
    <n v="315000"/>
    <n v="450000"/>
    <n v="180000"/>
  </r>
  <r>
    <s v="21-11-2026"/>
    <x v="4"/>
    <x v="0"/>
    <x v="1"/>
    <n v="14"/>
    <n v="3500"/>
    <n v="29400"/>
    <n v="49000"/>
    <n v="23100"/>
  </r>
  <r>
    <s v="12-07-2026"/>
    <x v="2"/>
    <x v="3"/>
    <x v="5"/>
    <n v="11"/>
    <n v="2200"/>
    <n v="14036"/>
    <n v="24200"/>
    <n v="12364"/>
  </r>
  <r>
    <s v="09-07-2026"/>
    <x v="5"/>
    <x v="2"/>
    <x v="7"/>
    <n v="39"/>
    <n v="6000"/>
    <n v="145080"/>
    <n v="234000"/>
    <n v="94920"/>
  </r>
  <r>
    <s v="13-02-2026"/>
    <x v="4"/>
    <x v="1"/>
    <x v="8"/>
    <n v="49"/>
    <n v="15000"/>
    <n v="477750"/>
    <n v="735000"/>
    <n v="272250"/>
  </r>
  <r>
    <s v="13-11-2026"/>
    <x v="4"/>
    <x v="0"/>
    <x v="0"/>
    <n v="29"/>
    <n v="800"/>
    <n v="11600"/>
    <n v="23200"/>
    <n v="12400"/>
  </r>
  <r>
    <s v="05-12-2026"/>
    <x v="2"/>
    <x v="3"/>
    <x v="7"/>
    <n v="29"/>
    <n v="6000"/>
    <n v="107880"/>
    <n v="174000"/>
    <n v="72120"/>
  </r>
  <r>
    <s v="01-08-2026"/>
    <x v="5"/>
    <x v="1"/>
    <x v="1"/>
    <n v="8"/>
    <n v="3500"/>
    <n v="16800"/>
    <n v="28000"/>
    <n v="14700"/>
  </r>
  <r>
    <s v="26-06-2026"/>
    <x v="2"/>
    <x v="0"/>
    <x v="0"/>
    <n v="44"/>
    <n v="800"/>
    <n v="17600"/>
    <n v="35200"/>
    <n v="18400"/>
  </r>
  <r>
    <s v="14-12-2026"/>
    <x v="7"/>
    <x v="2"/>
    <x v="2"/>
    <n v="15"/>
    <n v="55000"/>
    <n v="594000"/>
    <n v="825000"/>
    <n v="286000"/>
  </r>
  <r>
    <s v="22-07-2026"/>
    <x v="4"/>
    <x v="0"/>
    <x v="9"/>
    <n v="20"/>
    <n v="1500"/>
    <n v="16500"/>
    <n v="30000"/>
    <n v="15000"/>
  </r>
  <r>
    <s v="19-04-2026"/>
    <x v="1"/>
    <x v="2"/>
    <x v="0"/>
    <n v="21"/>
    <n v="800"/>
    <n v="8400"/>
    <n v="16800"/>
    <n v="9200"/>
  </r>
  <r>
    <s v="03-03-2026"/>
    <x v="4"/>
    <x v="3"/>
    <x v="4"/>
    <n v="12"/>
    <n v="12000"/>
    <n v="97920"/>
    <n v="144000"/>
    <n v="58080"/>
  </r>
  <r>
    <s v="08-03-2026"/>
    <x v="2"/>
    <x v="1"/>
    <x v="1"/>
    <n v="36"/>
    <n v="3500"/>
    <n v="75600"/>
    <n v="126000"/>
    <n v="53900"/>
  </r>
  <r>
    <s v="09-12-2026"/>
    <x v="6"/>
    <x v="0"/>
    <x v="4"/>
    <n v="48"/>
    <n v="12000"/>
    <n v="391680"/>
    <n v="576000"/>
    <n v="196320"/>
  </r>
  <r>
    <s v="22-01-2026"/>
    <x v="2"/>
    <x v="0"/>
    <x v="3"/>
    <n v="5"/>
    <n v="25000"/>
    <n v="87500"/>
    <n v="125000"/>
    <n v="62500"/>
  </r>
  <r>
    <s v="10-06-2026"/>
    <x v="2"/>
    <x v="3"/>
    <x v="4"/>
    <n v="19"/>
    <n v="12000"/>
    <n v="155040"/>
    <n v="228000"/>
    <n v="84960"/>
  </r>
  <r>
    <s v="28-02-2026"/>
    <x v="2"/>
    <x v="0"/>
    <x v="5"/>
    <n v="11"/>
    <n v="2200"/>
    <n v="14036"/>
    <n v="24200"/>
    <n v="12364"/>
  </r>
  <r>
    <s v="13-11-2026"/>
    <x v="7"/>
    <x v="2"/>
    <x v="6"/>
    <n v="28"/>
    <n v="45000"/>
    <n v="882000"/>
    <n v="1260000"/>
    <n v="423000"/>
  </r>
  <r>
    <s v="24-02-2026"/>
    <x v="3"/>
    <x v="3"/>
    <x v="7"/>
    <n v="26"/>
    <n v="6000"/>
    <n v="96720"/>
    <n v="156000"/>
    <n v="65280"/>
  </r>
  <r>
    <s v="26-09-2026"/>
    <x v="0"/>
    <x v="3"/>
    <x v="0"/>
    <n v="48"/>
    <n v="800"/>
    <n v="19200"/>
    <n v="38400"/>
    <n v="20000"/>
  </r>
  <r>
    <s v="23-06-2026"/>
    <x v="3"/>
    <x v="2"/>
    <x v="8"/>
    <n v="5"/>
    <n v="15000"/>
    <n v="48750"/>
    <n v="75000"/>
    <n v="41250"/>
  </r>
  <r>
    <s v="19-09-2026"/>
    <x v="0"/>
    <x v="1"/>
    <x v="5"/>
    <n v="23"/>
    <n v="2200"/>
    <n v="29348"/>
    <n v="50600"/>
    <n v="23452"/>
  </r>
  <r>
    <s v="27-11-2026"/>
    <x v="1"/>
    <x v="1"/>
    <x v="6"/>
    <n v="10"/>
    <n v="45000"/>
    <n v="315000"/>
    <n v="450000"/>
    <n v="180000"/>
  </r>
  <r>
    <s v="12-05-2026"/>
    <x v="3"/>
    <x v="1"/>
    <x v="7"/>
    <n v="10"/>
    <n v="6000"/>
    <n v="37200"/>
    <n v="60000"/>
    <n v="28800"/>
  </r>
  <r>
    <s v="02-12-2026"/>
    <x v="0"/>
    <x v="1"/>
    <x v="3"/>
    <n v="30"/>
    <n v="25000"/>
    <n v="525000"/>
    <n v="750000"/>
    <n v="250000"/>
  </r>
  <r>
    <s v="16-10-2026"/>
    <x v="7"/>
    <x v="2"/>
    <x v="5"/>
    <n v="10"/>
    <n v="2200"/>
    <n v="12760"/>
    <n v="22000"/>
    <n v="11440"/>
  </r>
  <r>
    <s v="14-08-2026"/>
    <x v="0"/>
    <x v="3"/>
    <x v="3"/>
    <n v="41"/>
    <n v="25000"/>
    <n v="717500"/>
    <n v="1025000"/>
    <n v="332500"/>
  </r>
  <r>
    <s v="05-06-2026"/>
    <x v="5"/>
    <x v="0"/>
    <x v="5"/>
    <n v="33"/>
    <n v="2200"/>
    <n v="42108"/>
    <n v="72600"/>
    <n v="32692"/>
  </r>
  <r>
    <s v="07-02-2026"/>
    <x v="5"/>
    <x v="3"/>
    <x v="3"/>
    <n v="3"/>
    <n v="25000"/>
    <n v="52500"/>
    <n v="75000"/>
    <n v="47500"/>
  </r>
  <r>
    <s v="30-01-2026"/>
    <x v="6"/>
    <x v="2"/>
    <x v="6"/>
    <n v="42"/>
    <n v="45000"/>
    <n v="1323000"/>
    <n v="1890000"/>
    <n v="612000"/>
  </r>
  <r>
    <s v="16-02-2026"/>
    <x v="2"/>
    <x v="3"/>
    <x v="7"/>
    <n v="36"/>
    <n v="6000"/>
    <n v="133920"/>
    <n v="216000"/>
    <n v="88080"/>
  </r>
  <r>
    <s v="22-01-2026"/>
    <x v="7"/>
    <x v="1"/>
    <x v="5"/>
    <n v="39"/>
    <n v="2200"/>
    <n v="49764"/>
    <n v="85800"/>
    <n v="38236"/>
  </r>
  <r>
    <s v="01-09-2026"/>
    <x v="1"/>
    <x v="0"/>
    <x v="3"/>
    <n v="7"/>
    <n v="25000"/>
    <n v="122500"/>
    <n v="175000"/>
    <n v="77500"/>
  </r>
  <r>
    <s v="25-06-2026"/>
    <x v="0"/>
    <x v="1"/>
    <x v="2"/>
    <n v="16"/>
    <n v="55000"/>
    <n v="633600"/>
    <n v="880000"/>
    <n v="301400"/>
  </r>
  <r>
    <s v="29-12-2026"/>
    <x v="7"/>
    <x v="3"/>
    <x v="1"/>
    <n v="34"/>
    <n v="3500"/>
    <n v="71400"/>
    <n v="119000"/>
    <n v="51100"/>
  </r>
  <r>
    <s v="09-11-2026"/>
    <x v="1"/>
    <x v="2"/>
    <x v="5"/>
    <n v="19"/>
    <n v="2200"/>
    <n v="24244"/>
    <n v="41800"/>
    <n v="19756"/>
  </r>
  <r>
    <s v="18-07-2026"/>
    <x v="2"/>
    <x v="2"/>
    <x v="7"/>
    <n v="4"/>
    <n v="6000"/>
    <n v="14880"/>
    <n v="24000"/>
    <n v="15120"/>
  </r>
  <r>
    <s v="20-11-2026"/>
    <x v="6"/>
    <x v="0"/>
    <x v="5"/>
    <n v="7"/>
    <n v="2200"/>
    <n v="8932"/>
    <n v="15400"/>
    <n v="8668"/>
  </r>
  <r>
    <s v="13-10-2026"/>
    <x v="2"/>
    <x v="2"/>
    <x v="0"/>
    <n v="47"/>
    <n v="800"/>
    <n v="18800"/>
    <n v="37600"/>
    <n v="19600"/>
  </r>
  <r>
    <s v="03-12-2026"/>
    <x v="1"/>
    <x v="2"/>
    <x v="6"/>
    <n v="38"/>
    <n v="45000"/>
    <n v="1197000"/>
    <n v="1710000"/>
    <n v="558000"/>
  </r>
  <r>
    <s v="06-12-2026"/>
    <x v="1"/>
    <x v="2"/>
    <x v="0"/>
    <n v="42"/>
    <n v="800"/>
    <n v="16800"/>
    <n v="33600"/>
    <n v="17600"/>
  </r>
  <r>
    <s v="24-12-2026"/>
    <x v="2"/>
    <x v="1"/>
    <x v="7"/>
    <n v="46"/>
    <n v="6000"/>
    <n v="171120"/>
    <n v="276000"/>
    <n v="110880"/>
  </r>
  <r>
    <s v="13-02-2026"/>
    <x v="5"/>
    <x v="3"/>
    <x v="5"/>
    <n v="9"/>
    <n v="2200"/>
    <n v="11484"/>
    <n v="19800"/>
    <n v="10516"/>
  </r>
  <r>
    <s v="10-12-2026"/>
    <x v="0"/>
    <x v="3"/>
    <x v="1"/>
    <n v="24"/>
    <n v="3500"/>
    <n v="50400"/>
    <n v="84000"/>
    <n v="37100"/>
  </r>
  <r>
    <s v="10-01-2026"/>
    <x v="6"/>
    <x v="2"/>
    <x v="8"/>
    <n v="14"/>
    <n v="15000"/>
    <n v="136500"/>
    <n v="210000"/>
    <n v="88500"/>
  </r>
  <r>
    <s v="24-06-2026"/>
    <x v="7"/>
    <x v="1"/>
    <x v="9"/>
    <n v="9"/>
    <n v="1500"/>
    <n v="7425"/>
    <n v="13500"/>
    <n v="7575"/>
  </r>
  <r>
    <s v="21-03-2026"/>
    <x v="0"/>
    <x v="2"/>
    <x v="6"/>
    <n v="33"/>
    <n v="45000"/>
    <n v="1039500"/>
    <n v="1485000"/>
    <n v="490500"/>
  </r>
  <r>
    <s v="04-10-2026"/>
    <x v="4"/>
    <x v="2"/>
    <x v="7"/>
    <n v="9"/>
    <n v="6000"/>
    <n v="33480"/>
    <n v="54000"/>
    <n v="26520"/>
  </r>
  <r>
    <s v="02-11-2026"/>
    <x v="2"/>
    <x v="1"/>
    <x v="8"/>
    <n v="12"/>
    <n v="15000"/>
    <n v="117000"/>
    <n v="180000"/>
    <n v="78000"/>
  </r>
  <r>
    <s v="21-12-2026"/>
    <x v="1"/>
    <x v="3"/>
    <x v="2"/>
    <n v="27"/>
    <n v="55000"/>
    <n v="1069200"/>
    <n v="1485000"/>
    <n v="470800"/>
  </r>
  <r>
    <s v="06-07-2026"/>
    <x v="3"/>
    <x v="3"/>
    <x v="7"/>
    <n v="19"/>
    <n v="6000"/>
    <n v="70680"/>
    <n v="114000"/>
    <n v="49320"/>
  </r>
  <r>
    <s v="18-08-2026"/>
    <x v="3"/>
    <x v="1"/>
    <x v="0"/>
    <n v="31"/>
    <n v="800"/>
    <n v="12400"/>
    <n v="24800"/>
    <n v="13200"/>
  </r>
  <r>
    <s v="10-04-2026"/>
    <x v="6"/>
    <x v="3"/>
    <x v="3"/>
    <n v="50"/>
    <n v="25000"/>
    <n v="875000"/>
    <n v="1250000"/>
    <n v="400000"/>
  </r>
  <r>
    <s v="25-05-2026"/>
    <x v="2"/>
    <x v="3"/>
    <x v="8"/>
    <n v="13"/>
    <n v="15000"/>
    <n v="126750"/>
    <n v="195000"/>
    <n v="83250"/>
  </r>
  <r>
    <s v="06-11-2026"/>
    <x v="1"/>
    <x v="2"/>
    <x v="2"/>
    <n v="42"/>
    <n v="55000"/>
    <n v="1663200"/>
    <n v="2310000"/>
    <n v="701800"/>
  </r>
  <r>
    <s v="04-09-2026"/>
    <x v="6"/>
    <x v="0"/>
    <x v="1"/>
    <n v="8"/>
    <n v="3500"/>
    <n v="16800"/>
    <n v="28000"/>
    <n v="14700"/>
  </r>
  <r>
    <s v="26-05-2026"/>
    <x v="0"/>
    <x v="1"/>
    <x v="0"/>
    <n v="29"/>
    <n v="800"/>
    <n v="11600"/>
    <n v="23200"/>
    <n v="12400"/>
  </r>
  <r>
    <s v="20-09-2026"/>
    <x v="1"/>
    <x v="3"/>
    <x v="6"/>
    <n v="15"/>
    <n v="45000"/>
    <n v="472500"/>
    <n v="675000"/>
    <n v="247500"/>
  </r>
  <r>
    <s v="19-08-2026"/>
    <x v="6"/>
    <x v="0"/>
    <x v="4"/>
    <n v="4"/>
    <n v="12000"/>
    <n v="32640"/>
    <n v="48000"/>
    <n v="27360"/>
  </r>
  <r>
    <s v="22-07-2026"/>
    <x v="6"/>
    <x v="1"/>
    <x v="4"/>
    <n v="6"/>
    <n v="12000"/>
    <n v="48960"/>
    <n v="72000"/>
    <n v="35040"/>
  </r>
  <r>
    <s v="11-07-2026"/>
    <x v="3"/>
    <x v="0"/>
    <x v="5"/>
    <n v="7"/>
    <n v="2200"/>
    <n v="8932"/>
    <n v="15400"/>
    <n v="8668"/>
  </r>
  <r>
    <s v="29-11-2026"/>
    <x v="6"/>
    <x v="1"/>
    <x v="8"/>
    <n v="3"/>
    <n v="15000"/>
    <n v="29250"/>
    <n v="45000"/>
    <n v="30750"/>
  </r>
  <r>
    <s v="27-05-2026"/>
    <x v="7"/>
    <x v="1"/>
    <x v="3"/>
    <n v="29"/>
    <n v="25000"/>
    <n v="507500"/>
    <n v="725000"/>
    <n v="242500"/>
  </r>
  <r>
    <s v="12-11-2026"/>
    <x v="4"/>
    <x v="0"/>
    <x v="2"/>
    <n v="17"/>
    <n v="55000"/>
    <n v="673200"/>
    <n v="935000"/>
    <n v="316800"/>
  </r>
  <r>
    <s v="21-04-2026"/>
    <x v="1"/>
    <x v="3"/>
    <x v="6"/>
    <n v="50"/>
    <n v="45000"/>
    <n v="1575000"/>
    <n v="2250000"/>
    <n v="720000"/>
  </r>
  <r>
    <s v="28-05-2026"/>
    <x v="3"/>
    <x v="2"/>
    <x v="6"/>
    <n v="4"/>
    <n v="45000"/>
    <n v="126000"/>
    <n v="180000"/>
    <n v="99000"/>
  </r>
  <r>
    <s v="03-05-2026"/>
    <x v="2"/>
    <x v="3"/>
    <x v="6"/>
    <n v="8"/>
    <n v="45000"/>
    <n v="252000"/>
    <n v="360000"/>
    <n v="153000"/>
  </r>
  <r>
    <s v="13-09-2026"/>
    <x v="4"/>
    <x v="1"/>
    <x v="8"/>
    <n v="19"/>
    <n v="15000"/>
    <n v="185250"/>
    <n v="285000"/>
    <n v="114750"/>
  </r>
  <r>
    <s v="08-08-2026"/>
    <x v="4"/>
    <x v="2"/>
    <x v="9"/>
    <n v="37"/>
    <n v="1500"/>
    <n v="30525"/>
    <n v="55500"/>
    <n v="26475"/>
  </r>
  <r>
    <s v="02-08-2026"/>
    <x v="1"/>
    <x v="0"/>
    <x v="1"/>
    <n v="24"/>
    <n v="3500"/>
    <n v="50400"/>
    <n v="84000"/>
    <n v="37100"/>
  </r>
  <r>
    <s v="04-02-2026"/>
    <x v="4"/>
    <x v="3"/>
    <x v="3"/>
    <n v="3"/>
    <n v="25000"/>
    <n v="52500"/>
    <n v="75000"/>
    <n v="47500"/>
  </r>
  <r>
    <s v="22-11-2026"/>
    <x v="2"/>
    <x v="2"/>
    <x v="0"/>
    <n v="48"/>
    <n v="800"/>
    <n v="19200"/>
    <n v="38400"/>
    <n v="20000"/>
  </r>
  <r>
    <s v="09-01-2026"/>
    <x v="6"/>
    <x v="0"/>
    <x v="5"/>
    <n v="16"/>
    <n v="2200"/>
    <n v="20416"/>
    <n v="35200"/>
    <n v="16984"/>
  </r>
  <r>
    <s v="03-12-2026"/>
    <x v="0"/>
    <x v="2"/>
    <x v="8"/>
    <n v="3"/>
    <n v="15000"/>
    <n v="29250"/>
    <n v="45000"/>
    <n v="30750"/>
  </r>
  <r>
    <s v="30-06-2026"/>
    <x v="6"/>
    <x v="1"/>
    <x v="3"/>
    <n v="45"/>
    <n v="25000"/>
    <n v="787500"/>
    <n v="1125000"/>
    <n v="362500"/>
  </r>
  <r>
    <s v="03-09-2026"/>
    <x v="1"/>
    <x v="1"/>
    <x v="6"/>
    <n v="46"/>
    <n v="45000"/>
    <n v="1449000"/>
    <n v="2070000"/>
    <n v="666000"/>
  </r>
  <r>
    <s v="23-08-2026"/>
    <x v="4"/>
    <x v="2"/>
    <x v="9"/>
    <n v="3"/>
    <n v="1500"/>
    <n v="2475"/>
    <n v="4500"/>
    <n v="3525"/>
  </r>
  <r>
    <s v="13-04-2026"/>
    <x v="4"/>
    <x v="2"/>
    <x v="0"/>
    <n v="33"/>
    <n v="800"/>
    <n v="13200"/>
    <n v="26400"/>
    <n v="14000"/>
  </r>
  <r>
    <s v="23-07-2026"/>
    <x v="7"/>
    <x v="2"/>
    <x v="2"/>
    <n v="49"/>
    <n v="55000"/>
    <n v="1940400"/>
    <n v="2695000"/>
    <n v="809600"/>
  </r>
  <r>
    <s v="28-11-2026"/>
    <x v="3"/>
    <x v="2"/>
    <x v="5"/>
    <n v="50"/>
    <n v="2200"/>
    <n v="63800"/>
    <n v="110000"/>
    <n v="48400"/>
  </r>
  <r>
    <s v="25-01-2026"/>
    <x v="6"/>
    <x v="2"/>
    <x v="6"/>
    <n v="24"/>
    <n v="45000"/>
    <n v="756000"/>
    <n v="1080000"/>
    <n v="369000"/>
  </r>
  <r>
    <s v="12-08-2026"/>
    <x v="2"/>
    <x v="3"/>
    <x v="4"/>
    <n v="22"/>
    <n v="12000"/>
    <n v="179520"/>
    <n v="264000"/>
    <n v="96480"/>
  </r>
  <r>
    <s v="06-04-2026"/>
    <x v="7"/>
    <x v="3"/>
    <x v="5"/>
    <n v="34"/>
    <n v="2200"/>
    <n v="43384"/>
    <n v="74800"/>
    <n v="33616"/>
  </r>
  <r>
    <s v="17-05-2026"/>
    <x v="0"/>
    <x v="3"/>
    <x v="6"/>
    <n v="28"/>
    <n v="45000"/>
    <n v="882000"/>
    <n v="1260000"/>
    <n v="423000"/>
  </r>
  <r>
    <s v="05-11-2026"/>
    <x v="1"/>
    <x v="2"/>
    <x v="5"/>
    <n v="7"/>
    <n v="2200"/>
    <n v="8932"/>
    <n v="15400"/>
    <n v="8668"/>
  </r>
  <r>
    <s v="10-02-2026"/>
    <x v="6"/>
    <x v="2"/>
    <x v="0"/>
    <n v="29"/>
    <n v="800"/>
    <n v="11600"/>
    <n v="23200"/>
    <n v="12400"/>
  </r>
  <r>
    <s v="05-11-2026"/>
    <x v="2"/>
    <x v="1"/>
    <x v="3"/>
    <n v="23"/>
    <n v="25000"/>
    <n v="402500"/>
    <n v="575000"/>
    <n v="197500"/>
  </r>
  <r>
    <s v="17-08-2026"/>
    <x v="4"/>
    <x v="2"/>
    <x v="7"/>
    <n v="28"/>
    <n v="6000"/>
    <n v="104160"/>
    <n v="168000"/>
    <n v="69840"/>
  </r>
  <r>
    <s v="21-05-2026"/>
    <x v="4"/>
    <x v="0"/>
    <x v="4"/>
    <n v="24"/>
    <n v="12000"/>
    <n v="195840"/>
    <n v="288000"/>
    <n v="104160"/>
  </r>
  <r>
    <s v="20-09-2026"/>
    <x v="1"/>
    <x v="0"/>
    <x v="8"/>
    <n v="39"/>
    <n v="15000"/>
    <n v="380250"/>
    <n v="585000"/>
    <n v="219750"/>
  </r>
  <r>
    <s v="14-12-2026"/>
    <x v="7"/>
    <x v="0"/>
    <x v="8"/>
    <n v="5"/>
    <n v="15000"/>
    <n v="48750"/>
    <n v="75000"/>
    <n v="41250"/>
  </r>
  <r>
    <s v="01-05-2026"/>
    <x v="6"/>
    <x v="2"/>
    <x v="4"/>
    <n v="37"/>
    <n v="12000"/>
    <n v="301920"/>
    <n v="444000"/>
    <n v="154080"/>
  </r>
  <r>
    <s v="17-01-2026"/>
    <x v="1"/>
    <x v="3"/>
    <x v="5"/>
    <n v="24"/>
    <n v="2200"/>
    <n v="30624"/>
    <n v="52800"/>
    <n v="24376"/>
  </r>
  <r>
    <s v="16-08-2026"/>
    <x v="0"/>
    <x v="1"/>
    <x v="1"/>
    <n v="24"/>
    <n v="3500"/>
    <n v="50400"/>
    <n v="84000"/>
    <n v="37100"/>
  </r>
  <r>
    <s v="23-07-2026"/>
    <x v="6"/>
    <x v="2"/>
    <x v="9"/>
    <n v="8"/>
    <n v="1500"/>
    <n v="6600"/>
    <n v="12000"/>
    <n v="6900"/>
  </r>
  <r>
    <s v="14-01-2026"/>
    <x v="1"/>
    <x v="3"/>
    <x v="1"/>
    <n v="25"/>
    <n v="3500"/>
    <n v="52500"/>
    <n v="87500"/>
    <n v="38500"/>
  </r>
  <r>
    <s v="15-10-2026"/>
    <x v="0"/>
    <x v="2"/>
    <x v="0"/>
    <n v="46"/>
    <n v="800"/>
    <n v="18400"/>
    <n v="36800"/>
    <n v="19200"/>
  </r>
  <r>
    <s v="17-08-2026"/>
    <x v="3"/>
    <x v="2"/>
    <x v="3"/>
    <n v="13"/>
    <n v="25000"/>
    <n v="227500"/>
    <n v="325000"/>
    <n v="122500"/>
  </r>
  <r>
    <s v="04-03-2026"/>
    <x v="1"/>
    <x v="0"/>
    <x v="3"/>
    <n v="12"/>
    <n v="25000"/>
    <n v="210000"/>
    <n v="300000"/>
    <n v="115000"/>
  </r>
  <r>
    <s v="16-08-2026"/>
    <x v="0"/>
    <x v="2"/>
    <x v="5"/>
    <n v="46"/>
    <n v="2200"/>
    <n v="58696"/>
    <n v="101200"/>
    <n v="44704"/>
  </r>
  <r>
    <s v="03-02-2026"/>
    <x v="5"/>
    <x v="2"/>
    <x v="8"/>
    <n v="46"/>
    <n v="15000"/>
    <n v="448500"/>
    <n v="690000"/>
    <n v="256500"/>
  </r>
  <r>
    <s v="30-12-2026"/>
    <x v="1"/>
    <x v="2"/>
    <x v="1"/>
    <n v="15"/>
    <n v="3500"/>
    <n v="31500"/>
    <n v="52500"/>
    <n v="24500"/>
  </r>
  <r>
    <s v="04-03-2026"/>
    <x v="3"/>
    <x v="1"/>
    <x v="9"/>
    <n v="32"/>
    <n v="1500"/>
    <n v="26400"/>
    <n v="48000"/>
    <n v="23100"/>
  </r>
  <r>
    <s v="14-01-2026"/>
    <x v="6"/>
    <x v="2"/>
    <x v="3"/>
    <n v="36"/>
    <n v="25000"/>
    <n v="630000"/>
    <n v="900000"/>
    <n v="295000"/>
  </r>
  <r>
    <s v="08-03-2026"/>
    <x v="0"/>
    <x v="0"/>
    <x v="0"/>
    <n v="26"/>
    <n v="800"/>
    <n v="10400"/>
    <n v="20800"/>
    <n v="11200"/>
  </r>
  <r>
    <s v="03-09-2026"/>
    <x v="2"/>
    <x v="3"/>
    <x v="7"/>
    <n v="5"/>
    <n v="6000"/>
    <n v="18600"/>
    <n v="30000"/>
    <n v="17400"/>
  </r>
  <r>
    <s v="06-03-2026"/>
    <x v="6"/>
    <x v="0"/>
    <x v="3"/>
    <n v="30"/>
    <n v="25000"/>
    <n v="525000"/>
    <n v="750000"/>
    <n v="250000"/>
  </r>
  <r>
    <s v="15-12-2026"/>
    <x v="6"/>
    <x v="1"/>
    <x v="1"/>
    <n v="41"/>
    <n v="3500"/>
    <n v="86100"/>
    <n v="143500"/>
    <n v="60900"/>
  </r>
  <r>
    <s v="28-10-2026"/>
    <x v="1"/>
    <x v="1"/>
    <x v="4"/>
    <n v="33"/>
    <n v="12000"/>
    <n v="269280"/>
    <n v="396000"/>
    <n v="138720"/>
  </r>
  <r>
    <s v="29-01-2026"/>
    <x v="0"/>
    <x v="1"/>
    <x v="0"/>
    <n v="11"/>
    <n v="800"/>
    <n v="4400"/>
    <n v="8800"/>
    <n v="5200"/>
  </r>
  <r>
    <s v="24-03-2026"/>
    <x v="6"/>
    <x v="1"/>
    <x v="5"/>
    <n v="34"/>
    <n v="2200"/>
    <n v="43384"/>
    <n v="74800"/>
    <n v="33616"/>
  </r>
  <r>
    <s v="26-05-2026"/>
    <x v="0"/>
    <x v="2"/>
    <x v="9"/>
    <n v="41"/>
    <n v="1500"/>
    <n v="33825"/>
    <n v="61500"/>
    <n v="29175"/>
  </r>
  <r>
    <s v="10-10-2026"/>
    <x v="5"/>
    <x v="1"/>
    <x v="0"/>
    <n v="40"/>
    <n v="800"/>
    <n v="16000"/>
    <n v="32000"/>
    <n v="16800"/>
  </r>
  <r>
    <s v="01-10-2026"/>
    <x v="0"/>
    <x v="1"/>
    <x v="7"/>
    <n v="38"/>
    <n v="6000"/>
    <n v="141360"/>
    <n v="228000"/>
    <n v="92640"/>
  </r>
  <r>
    <s v="20-03-2026"/>
    <x v="1"/>
    <x v="2"/>
    <x v="7"/>
    <n v="3"/>
    <n v="6000"/>
    <n v="11160"/>
    <n v="18000"/>
    <n v="12840"/>
  </r>
  <r>
    <s v="15-01-2026"/>
    <x v="0"/>
    <x v="0"/>
    <x v="7"/>
    <n v="17"/>
    <n v="6000"/>
    <n v="63240"/>
    <n v="102000"/>
    <n v="44760"/>
  </r>
  <r>
    <s v="30-11-2026"/>
    <x v="3"/>
    <x v="3"/>
    <x v="7"/>
    <n v="41"/>
    <n v="6000"/>
    <n v="152520"/>
    <n v="246000"/>
    <n v="99480"/>
  </r>
  <r>
    <s v="16-01-2026"/>
    <x v="7"/>
    <x v="2"/>
    <x v="0"/>
    <n v="31"/>
    <n v="800"/>
    <n v="12400"/>
    <n v="24800"/>
    <n v="13200"/>
  </r>
  <r>
    <s v="06-05-2026"/>
    <x v="2"/>
    <x v="2"/>
    <x v="3"/>
    <n v="5"/>
    <n v="25000"/>
    <n v="87500"/>
    <n v="125000"/>
    <n v="62500"/>
  </r>
  <r>
    <s v="19-12-2026"/>
    <x v="4"/>
    <x v="1"/>
    <x v="3"/>
    <n v="27"/>
    <n v="25000"/>
    <n v="472500"/>
    <n v="675000"/>
    <n v="227500"/>
  </r>
  <r>
    <s v="05-09-2026"/>
    <x v="7"/>
    <x v="1"/>
    <x v="5"/>
    <n v="39"/>
    <n v="2200"/>
    <n v="49764"/>
    <n v="85800"/>
    <n v="38236"/>
  </r>
  <r>
    <s v="15-03-2026"/>
    <x v="6"/>
    <x v="2"/>
    <x v="5"/>
    <n v="26"/>
    <n v="2200"/>
    <n v="33176"/>
    <n v="57200"/>
    <n v="26224"/>
  </r>
  <r>
    <s v="08-03-2026"/>
    <x v="6"/>
    <x v="0"/>
    <x v="5"/>
    <n v="16"/>
    <n v="2200"/>
    <n v="20416"/>
    <n v="35200"/>
    <n v="16984"/>
  </r>
  <r>
    <s v="27-08-2026"/>
    <x v="0"/>
    <x v="2"/>
    <x v="3"/>
    <n v="16"/>
    <n v="25000"/>
    <n v="280000"/>
    <n v="400000"/>
    <n v="145000"/>
  </r>
  <r>
    <s v="14-03-2026"/>
    <x v="0"/>
    <x v="0"/>
    <x v="0"/>
    <n v="25"/>
    <n v="800"/>
    <n v="10000"/>
    <n v="20000"/>
    <n v="10800"/>
  </r>
  <r>
    <s v="12-11-2026"/>
    <x v="2"/>
    <x v="1"/>
    <x v="8"/>
    <n v="21"/>
    <n v="15000"/>
    <n v="204750"/>
    <n v="315000"/>
    <n v="125250"/>
  </r>
  <r>
    <s v="23-10-2026"/>
    <x v="6"/>
    <x v="1"/>
    <x v="8"/>
    <n v="32"/>
    <n v="15000"/>
    <n v="312000"/>
    <n v="480000"/>
    <n v="183000"/>
  </r>
  <r>
    <s v="21-09-2026"/>
    <x v="7"/>
    <x v="3"/>
    <x v="0"/>
    <n v="32"/>
    <n v="800"/>
    <n v="12800"/>
    <n v="25600"/>
    <n v="13600"/>
  </r>
  <r>
    <s v="12-01-2026"/>
    <x v="0"/>
    <x v="3"/>
    <x v="1"/>
    <n v="30"/>
    <n v="3500"/>
    <n v="63000"/>
    <n v="105000"/>
    <n v="45500"/>
  </r>
  <r>
    <s v="04-05-2026"/>
    <x v="3"/>
    <x v="2"/>
    <x v="2"/>
    <n v="4"/>
    <n v="55000"/>
    <n v="158400"/>
    <n v="220000"/>
    <n v="116600"/>
  </r>
  <r>
    <s v="25-05-2026"/>
    <x v="7"/>
    <x v="3"/>
    <x v="0"/>
    <n v="35"/>
    <n v="800"/>
    <n v="14000"/>
    <n v="28000"/>
    <n v="14800"/>
  </r>
  <r>
    <s v="05-01-2026"/>
    <x v="0"/>
    <x v="3"/>
    <x v="8"/>
    <n v="17"/>
    <n v="15000"/>
    <n v="165750"/>
    <n v="255000"/>
    <n v="104250"/>
  </r>
  <r>
    <s v="07-07-2026"/>
    <x v="2"/>
    <x v="2"/>
    <x v="2"/>
    <n v="26"/>
    <n v="55000"/>
    <n v="1029600"/>
    <n v="1430000"/>
    <n v="455400"/>
  </r>
  <r>
    <s v="27-01-2026"/>
    <x v="3"/>
    <x v="2"/>
    <x v="1"/>
    <n v="19"/>
    <n v="3500"/>
    <n v="39900"/>
    <n v="66500"/>
    <n v="30100"/>
  </r>
  <r>
    <s v="07-02-2026"/>
    <x v="2"/>
    <x v="3"/>
    <x v="1"/>
    <n v="18"/>
    <n v="3500"/>
    <n v="37800"/>
    <n v="63000"/>
    <n v="28700"/>
  </r>
  <r>
    <s v="16-11-2026"/>
    <x v="0"/>
    <x v="1"/>
    <x v="6"/>
    <n v="26"/>
    <n v="45000"/>
    <n v="819000"/>
    <n v="1170000"/>
    <n v="396000"/>
  </r>
  <r>
    <s v="11-07-2026"/>
    <x v="6"/>
    <x v="2"/>
    <x v="8"/>
    <n v="13"/>
    <n v="15000"/>
    <n v="126750"/>
    <n v="195000"/>
    <n v="83250"/>
  </r>
  <r>
    <s v="05-11-2026"/>
    <x v="2"/>
    <x v="0"/>
    <x v="2"/>
    <n v="3"/>
    <n v="55000"/>
    <n v="118800"/>
    <n v="165000"/>
    <n v="101200"/>
  </r>
  <r>
    <s v="12-03-2026"/>
    <x v="6"/>
    <x v="3"/>
    <x v="1"/>
    <n v="30"/>
    <n v="3500"/>
    <n v="63000"/>
    <n v="105000"/>
    <n v="45500"/>
  </r>
  <r>
    <s v="18-03-2026"/>
    <x v="1"/>
    <x v="2"/>
    <x v="7"/>
    <n v="21"/>
    <n v="6000"/>
    <n v="78120"/>
    <n v="126000"/>
    <n v="53880"/>
  </r>
  <r>
    <s v="25-03-2026"/>
    <x v="2"/>
    <x v="2"/>
    <x v="7"/>
    <n v="22"/>
    <n v="6000"/>
    <n v="81840"/>
    <n v="132000"/>
    <n v="56160"/>
  </r>
  <r>
    <s v="17-09-2026"/>
    <x v="7"/>
    <x v="2"/>
    <x v="3"/>
    <n v="2"/>
    <n v="25000"/>
    <n v="35000"/>
    <n v="50000"/>
    <n v="40000"/>
  </r>
  <r>
    <s v="08-07-2026"/>
    <x v="6"/>
    <x v="0"/>
    <x v="4"/>
    <n v="38"/>
    <n v="12000"/>
    <n v="310080"/>
    <n v="456000"/>
    <n v="157920"/>
  </r>
  <r>
    <s v="07-06-2026"/>
    <x v="4"/>
    <x v="3"/>
    <x v="0"/>
    <n v="42"/>
    <n v="800"/>
    <n v="16800"/>
    <n v="33600"/>
    <n v="17600"/>
  </r>
  <r>
    <s v="24-10-2026"/>
    <x v="3"/>
    <x v="0"/>
    <x v="7"/>
    <n v="31"/>
    <n v="6000"/>
    <n v="115320"/>
    <n v="186000"/>
    <n v="76680"/>
  </r>
  <r>
    <s v="29-03-2026"/>
    <x v="2"/>
    <x v="1"/>
    <x v="9"/>
    <n v="3"/>
    <n v="1500"/>
    <n v="2475"/>
    <n v="4500"/>
    <n v="3525"/>
  </r>
  <r>
    <s v="21-10-2026"/>
    <x v="0"/>
    <x v="1"/>
    <x v="2"/>
    <n v="29"/>
    <n v="55000"/>
    <n v="1148400"/>
    <n v="1595000"/>
    <n v="501600"/>
  </r>
  <r>
    <s v="10-06-2026"/>
    <x v="2"/>
    <x v="1"/>
    <x v="4"/>
    <n v="45"/>
    <n v="12000"/>
    <n v="367200"/>
    <n v="540000"/>
    <n v="184800"/>
  </r>
  <r>
    <s v="15-04-2026"/>
    <x v="2"/>
    <x v="3"/>
    <x v="2"/>
    <n v="46"/>
    <n v="55000"/>
    <n v="1821600"/>
    <n v="2530000"/>
    <n v="763400"/>
  </r>
  <r>
    <s v="12-03-2026"/>
    <x v="3"/>
    <x v="2"/>
    <x v="3"/>
    <n v="34"/>
    <n v="25000"/>
    <n v="595000"/>
    <n v="850000"/>
    <n v="280000"/>
  </r>
  <r>
    <s v="12-07-2026"/>
    <x v="6"/>
    <x v="1"/>
    <x v="3"/>
    <n v="35"/>
    <n v="25000"/>
    <n v="612500"/>
    <n v="875000"/>
    <n v="287500"/>
  </r>
  <r>
    <s v="25-06-2026"/>
    <x v="6"/>
    <x v="2"/>
    <x v="7"/>
    <n v="31"/>
    <n v="6000"/>
    <n v="115320"/>
    <n v="186000"/>
    <n v="76680"/>
  </r>
  <r>
    <s v="09-04-2026"/>
    <x v="3"/>
    <x v="2"/>
    <x v="1"/>
    <n v="20"/>
    <n v="3500"/>
    <n v="42000"/>
    <n v="70000"/>
    <n v="31500"/>
  </r>
  <r>
    <s v="26-04-2026"/>
    <x v="5"/>
    <x v="2"/>
    <x v="9"/>
    <n v="45"/>
    <n v="1500"/>
    <n v="37125"/>
    <n v="67500"/>
    <n v="31875"/>
  </r>
  <r>
    <s v="27-12-2026"/>
    <x v="7"/>
    <x v="2"/>
    <x v="3"/>
    <n v="23"/>
    <n v="25000"/>
    <n v="402500"/>
    <n v="575000"/>
    <n v="197500"/>
  </r>
  <r>
    <s v="14-10-2026"/>
    <x v="5"/>
    <x v="2"/>
    <x v="6"/>
    <n v="37"/>
    <n v="45000"/>
    <n v="1165500"/>
    <n v="1665000"/>
    <n v="544500"/>
  </r>
  <r>
    <s v="13-12-2026"/>
    <x v="2"/>
    <x v="3"/>
    <x v="5"/>
    <n v="50"/>
    <n v="2200"/>
    <n v="63800"/>
    <n v="110000"/>
    <n v="48400"/>
  </r>
  <r>
    <s v="16-03-2026"/>
    <x v="5"/>
    <x v="0"/>
    <x v="0"/>
    <n v="46"/>
    <n v="800"/>
    <n v="18400"/>
    <n v="36800"/>
    <n v="19200"/>
  </r>
  <r>
    <s v="10-02-2026"/>
    <x v="6"/>
    <x v="3"/>
    <x v="0"/>
    <n v="48"/>
    <n v="800"/>
    <n v="19200"/>
    <n v="38400"/>
    <n v="20000"/>
  </r>
  <r>
    <s v="03-09-2026"/>
    <x v="3"/>
    <x v="1"/>
    <x v="1"/>
    <n v="18"/>
    <n v="3500"/>
    <n v="37800"/>
    <n v="63000"/>
    <n v="28700"/>
  </r>
  <r>
    <s v="15-10-2026"/>
    <x v="5"/>
    <x v="1"/>
    <x v="6"/>
    <n v="40"/>
    <n v="45000"/>
    <n v="1260000"/>
    <n v="1800000"/>
    <n v="585000"/>
  </r>
  <r>
    <s v="28-10-2026"/>
    <x v="3"/>
    <x v="1"/>
    <x v="2"/>
    <n v="43"/>
    <n v="55000"/>
    <n v="1702800"/>
    <n v="2365000"/>
    <n v="717200"/>
  </r>
  <r>
    <s v="29-09-2026"/>
    <x v="3"/>
    <x v="1"/>
    <x v="2"/>
    <n v="7"/>
    <n v="55000"/>
    <n v="277200"/>
    <n v="385000"/>
    <n v="162800"/>
  </r>
  <r>
    <s v="31-07-2026"/>
    <x v="6"/>
    <x v="3"/>
    <x v="6"/>
    <n v="44"/>
    <n v="45000"/>
    <n v="1386000"/>
    <n v="1980000"/>
    <n v="639000"/>
  </r>
  <r>
    <s v="12-03-2026"/>
    <x v="4"/>
    <x v="1"/>
    <x v="4"/>
    <n v="42"/>
    <n v="12000"/>
    <n v="342720"/>
    <n v="504000"/>
    <n v="173280"/>
  </r>
  <r>
    <s v="01-09-2026"/>
    <x v="7"/>
    <x v="1"/>
    <x v="0"/>
    <n v="21"/>
    <n v="800"/>
    <n v="8400"/>
    <n v="16800"/>
    <n v="9200"/>
  </r>
  <r>
    <s v="27-05-2026"/>
    <x v="4"/>
    <x v="0"/>
    <x v="7"/>
    <n v="15"/>
    <n v="6000"/>
    <n v="55800"/>
    <n v="90000"/>
    <n v="40200"/>
  </r>
  <r>
    <s v="01-10-2026"/>
    <x v="4"/>
    <x v="1"/>
    <x v="4"/>
    <n v="12"/>
    <n v="12000"/>
    <n v="97920"/>
    <n v="144000"/>
    <n v="58080"/>
  </r>
  <r>
    <s v="19-01-2026"/>
    <x v="2"/>
    <x v="3"/>
    <x v="8"/>
    <n v="48"/>
    <n v="15000"/>
    <n v="468000"/>
    <n v="720000"/>
    <n v="267000"/>
  </r>
  <r>
    <s v="29-05-2026"/>
    <x v="4"/>
    <x v="0"/>
    <x v="0"/>
    <n v="37"/>
    <n v="800"/>
    <n v="14800"/>
    <n v="29600"/>
    <n v="15600"/>
  </r>
  <r>
    <s v="05-11-2026"/>
    <x v="0"/>
    <x v="2"/>
    <x v="0"/>
    <n v="30"/>
    <n v="800"/>
    <n v="12000"/>
    <n v="24000"/>
    <n v="12800"/>
  </r>
  <r>
    <s v="25-11-2026"/>
    <x v="7"/>
    <x v="1"/>
    <x v="1"/>
    <n v="30"/>
    <n v="3500"/>
    <n v="63000"/>
    <n v="105000"/>
    <n v="45500"/>
  </r>
  <r>
    <s v="20-05-2026"/>
    <x v="3"/>
    <x v="0"/>
    <x v="5"/>
    <n v="11"/>
    <n v="2200"/>
    <n v="14036"/>
    <n v="24200"/>
    <n v="12364"/>
  </r>
  <r>
    <s v="23-08-2026"/>
    <x v="5"/>
    <x v="1"/>
    <x v="2"/>
    <n v="48"/>
    <n v="55000"/>
    <n v="1900800"/>
    <n v="2640000"/>
    <n v="794200"/>
  </r>
  <r>
    <s v="22-06-2026"/>
    <x v="5"/>
    <x v="1"/>
    <x v="8"/>
    <n v="40"/>
    <n v="15000"/>
    <n v="390000"/>
    <n v="600000"/>
    <n v="225000"/>
  </r>
  <r>
    <s v="24-11-2026"/>
    <x v="2"/>
    <x v="3"/>
    <x v="1"/>
    <n v="21"/>
    <n v="3500"/>
    <n v="44100"/>
    <n v="73500"/>
    <n v="32900"/>
  </r>
  <r>
    <s v="14-02-2026"/>
    <x v="2"/>
    <x v="0"/>
    <x v="8"/>
    <n v="9"/>
    <n v="15000"/>
    <n v="87750"/>
    <n v="135000"/>
    <n v="62250"/>
  </r>
  <r>
    <s v="02-09-2026"/>
    <x v="6"/>
    <x v="1"/>
    <x v="2"/>
    <n v="17"/>
    <n v="55000"/>
    <n v="673200"/>
    <n v="935000"/>
    <n v="316800"/>
  </r>
  <r>
    <s v="16-07-2026"/>
    <x v="3"/>
    <x v="3"/>
    <x v="0"/>
    <n v="22"/>
    <n v="800"/>
    <n v="8800"/>
    <n v="17600"/>
    <n v="9600"/>
  </r>
  <r>
    <s v="04-06-2026"/>
    <x v="4"/>
    <x v="2"/>
    <x v="5"/>
    <n v="45"/>
    <n v="2200"/>
    <n v="57420"/>
    <n v="99000"/>
    <n v="43780"/>
  </r>
  <r>
    <s v="01-05-2026"/>
    <x v="4"/>
    <x v="0"/>
    <x v="3"/>
    <n v="20"/>
    <n v="25000"/>
    <n v="350000"/>
    <n v="500000"/>
    <n v="175000"/>
  </r>
  <r>
    <s v="23-03-2026"/>
    <x v="2"/>
    <x v="2"/>
    <x v="6"/>
    <n v="41"/>
    <n v="45000"/>
    <n v="1291500"/>
    <n v="1845000"/>
    <n v="598500"/>
  </r>
  <r>
    <s v="01-06-2026"/>
    <x v="6"/>
    <x v="1"/>
    <x v="9"/>
    <n v="9"/>
    <n v="1500"/>
    <n v="7425"/>
    <n v="13500"/>
    <n v="7575"/>
  </r>
  <r>
    <s v="02-09-2026"/>
    <x v="1"/>
    <x v="3"/>
    <x v="7"/>
    <n v="24"/>
    <n v="6000"/>
    <n v="89280"/>
    <n v="144000"/>
    <n v="60720"/>
  </r>
  <r>
    <s v="01-08-2026"/>
    <x v="7"/>
    <x v="1"/>
    <x v="9"/>
    <n v="44"/>
    <n v="1500"/>
    <n v="36300"/>
    <n v="66000"/>
    <n v="31200"/>
  </r>
  <r>
    <s v="02-11-2026"/>
    <x v="0"/>
    <x v="3"/>
    <x v="1"/>
    <n v="46"/>
    <n v="3500"/>
    <n v="96600"/>
    <n v="161000"/>
    <n v="67900"/>
  </r>
  <r>
    <s v="05-07-2026"/>
    <x v="0"/>
    <x v="0"/>
    <x v="2"/>
    <n v="36"/>
    <n v="55000"/>
    <n v="1425600"/>
    <n v="1980000"/>
    <n v="609400"/>
  </r>
  <r>
    <s v="16-09-2026"/>
    <x v="3"/>
    <x v="1"/>
    <x v="8"/>
    <n v="21"/>
    <n v="15000"/>
    <n v="204750"/>
    <n v="315000"/>
    <n v="125250"/>
  </r>
  <r>
    <s v="24-09-2026"/>
    <x v="7"/>
    <x v="0"/>
    <x v="9"/>
    <n v="46"/>
    <n v="1500"/>
    <n v="37950"/>
    <n v="69000"/>
    <n v="32550"/>
  </r>
  <r>
    <s v="26-10-2026"/>
    <x v="7"/>
    <x v="0"/>
    <x v="1"/>
    <n v="29"/>
    <n v="3500"/>
    <n v="60900"/>
    <n v="101500"/>
    <n v="44100"/>
  </r>
  <r>
    <s v="29-01-2026"/>
    <x v="7"/>
    <x v="1"/>
    <x v="1"/>
    <n v="27"/>
    <n v="3500"/>
    <n v="56700"/>
    <n v="94500"/>
    <n v="41300"/>
  </r>
  <r>
    <s v="22-08-2026"/>
    <x v="4"/>
    <x v="3"/>
    <x v="0"/>
    <n v="47"/>
    <n v="800"/>
    <n v="18800"/>
    <n v="37600"/>
    <n v="19600"/>
  </r>
  <r>
    <s v="12-01-2026"/>
    <x v="2"/>
    <x v="2"/>
    <x v="2"/>
    <n v="48"/>
    <n v="55000"/>
    <n v="1900800"/>
    <n v="2640000"/>
    <n v="794200"/>
  </r>
  <r>
    <s v="22-04-2026"/>
    <x v="0"/>
    <x v="0"/>
    <x v="4"/>
    <n v="23"/>
    <n v="12000"/>
    <n v="187680"/>
    <n v="276000"/>
    <n v="100320"/>
  </r>
  <r>
    <s v="25-12-2026"/>
    <x v="0"/>
    <x v="0"/>
    <x v="6"/>
    <n v="31"/>
    <n v="45000"/>
    <n v="976500"/>
    <n v="1395000"/>
    <n v="463500"/>
  </r>
  <r>
    <s v="17-01-2026"/>
    <x v="5"/>
    <x v="3"/>
    <x v="8"/>
    <n v="50"/>
    <n v="15000"/>
    <n v="487500"/>
    <n v="750000"/>
    <n v="277500"/>
  </r>
  <r>
    <s v="11-03-2026"/>
    <x v="2"/>
    <x v="2"/>
    <x v="4"/>
    <n v="29"/>
    <n v="12000"/>
    <n v="236640"/>
    <n v="348000"/>
    <n v="123360"/>
  </r>
  <r>
    <s v="13-07-2026"/>
    <x v="2"/>
    <x v="0"/>
    <x v="1"/>
    <n v="9"/>
    <n v="3500"/>
    <n v="18900"/>
    <n v="31500"/>
    <n v="16100"/>
  </r>
  <r>
    <s v="01-12-2026"/>
    <x v="6"/>
    <x v="0"/>
    <x v="8"/>
    <n v="35"/>
    <n v="15000"/>
    <n v="341250"/>
    <n v="525000"/>
    <n v="198750"/>
  </r>
  <r>
    <s v="21-07-2026"/>
    <x v="1"/>
    <x v="1"/>
    <x v="2"/>
    <n v="49"/>
    <n v="55000"/>
    <n v="1940400"/>
    <n v="2695000"/>
    <n v="809600"/>
  </r>
  <r>
    <s v="12-01-2026"/>
    <x v="5"/>
    <x v="3"/>
    <x v="1"/>
    <n v="28"/>
    <n v="3500"/>
    <n v="58800"/>
    <n v="98000"/>
    <n v="42700"/>
  </r>
  <r>
    <s v="30-09-2026"/>
    <x v="2"/>
    <x v="1"/>
    <x v="9"/>
    <n v="30"/>
    <n v="1500"/>
    <n v="24750"/>
    <n v="45000"/>
    <n v="21750"/>
  </r>
  <r>
    <s v="27-06-2026"/>
    <x v="1"/>
    <x v="2"/>
    <x v="9"/>
    <n v="47"/>
    <n v="1500"/>
    <n v="38775"/>
    <n v="70500"/>
    <n v="33225"/>
  </r>
  <r>
    <s v="27-02-2026"/>
    <x v="4"/>
    <x v="3"/>
    <x v="7"/>
    <n v="50"/>
    <n v="6000"/>
    <n v="186000"/>
    <n v="300000"/>
    <n v="120000"/>
  </r>
  <r>
    <s v="09-01-2026"/>
    <x v="3"/>
    <x v="1"/>
    <x v="6"/>
    <n v="7"/>
    <n v="45000"/>
    <n v="220500"/>
    <n v="315000"/>
    <n v="139500"/>
  </r>
  <r>
    <s v="01-11-2026"/>
    <x v="4"/>
    <x v="3"/>
    <x v="7"/>
    <n v="44"/>
    <n v="6000"/>
    <n v="163680"/>
    <n v="264000"/>
    <n v="106320"/>
  </r>
  <r>
    <s v="27-12-2026"/>
    <x v="4"/>
    <x v="1"/>
    <x v="2"/>
    <n v="26"/>
    <n v="55000"/>
    <n v="1029600"/>
    <n v="1430000"/>
    <n v="455400"/>
  </r>
  <r>
    <s v="13-08-2026"/>
    <x v="3"/>
    <x v="1"/>
    <x v="2"/>
    <n v="9"/>
    <n v="55000"/>
    <n v="356400"/>
    <n v="495000"/>
    <n v="193600"/>
  </r>
  <r>
    <s v="15-09-2026"/>
    <x v="5"/>
    <x v="1"/>
    <x v="7"/>
    <n v="21"/>
    <n v="6000"/>
    <n v="78120"/>
    <n v="126000"/>
    <n v="53880"/>
  </r>
  <r>
    <s v="23-10-2026"/>
    <x v="6"/>
    <x v="1"/>
    <x v="0"/>
    <n v="10"/>
    <n v="800"/>
    <n v="4000"/>
    <n v="8000"/>
    <n v="4800"/>
  </r>
  <r>
    <s v="05-12-2026"/>
    <x v="3"/>
    <x v="3"/>
    <x v="0"/>
    <n v="18"/>
    <n v="800"/>
    <n v="7200"/>
    <n v="14400"/>
    <n v="8000"/>
  </r>
  <r>
    <s v="01-02-2026"/>
    <x v="1"/>
    <x v="3"/>
    <x v="1"/>
    <n v="32"/>
    <n v="3500"/>
    <n v="67200"/>
    <n v="112000"/>
    <n v="48300"/>
  </r>
  <r>
    <s v="25-01-2026"/>
    <x v="6"/>
    <x v="3"/>
    <x v="1"/>
    <n v="21"/>
    <n v="3500"/>
    <n v="44100"/>
    <n v="73500"/>
    <n v="32900"/>
  </r>
  <r>
    <s v="23-12-2026"/>
    <x v="2"/>
    <x v="3"/>
    <x v="8"/>
    <n v="20"/>
    <n v="15000"/>
    <n v="195000"/>
    <n v="300000"/>
    <n v="120000"/>
  </r>
  <r>
    <s v="12-07-2026"/>
    <x v="1"/>
    <x v="3"/>
    <x v="9"/>
    <n v="15"/>
    <n v="1500"/>
    <n v="12375"/>
    <n v="22500"/>
    <n v="11625"/>
  </r>
  <r>
    <s v="03-06-2026"/>
    <x v="1"/>
    <x v="3"/>
    <x v="2"/>
    <n v="36"/>
    <n v="55000"/>
    <n v="1425600"/>
    <n v="1980000"/>
    <n v="609400"/>
  </r>
  <r>
    <s v="31-07-2026"/>
    <x v="2"/>
    <x v="1"/>
    <x v="4"/>
    <n v="16"/>
    <n v="12000"/>
    <n v="130560"/>
    <n v="192000"/>
    <n v="73440"/>
  </r>
  <r>
    <s v="11-05-2026"/>
    <x v="3"/>
    <x v="2"/>
    <x v="6"/>
    <n v="29"/>
    <n v="45000"/>
    <n v="913500"/>
    <n v="1305000"/>
    <n v="436500"/>
  </r>
  <r>
    <s v="09-07-2026"/>
    <x v="0"/>
    <x v="1"/>
    <x v="2"/>
    <n v="18"/>
    <n v="55000"/>
    <n v="712800"/>
    <n v="990000"/>
    <n v="332200"/>
  </r>
  <r>
    <s v="13-07-2026"/>
    <x v="4"/>
    <x v="0"/>
    <x v="9"/>
    <n v="49"/>
    <n v="1500"/>
    <n v="40425"/>
    <n v="73500"/>
    <n v="34575"/>
  </r>
  <r>
    <s v="28-10-2026"/>
    <x v="3"/>
    <x v="3"/>
    <x v="9"/>
    <n v="22"/>
    <n v="1500"/>
    <n v="18150"/>
    <n v="33000"/>
    <n v="16350"/>
  </r>
  <r>
    <s v="05-06-2026"/>
    <x v="4"/>
    <x v="1"/>
    <x v="9"/>
    <n v="48"/>
    <n v="1500"/>
    <n v="39600"/>
    <n v="72000"/>
    <n v="33900"/>
  </r>
  <r>
    <s v="02-03-2026"/>
    <x v="7"/>
    <x v="1"/>
    <x v="7"/>
    <n v="46"/>
    <n v="6000"/>
    <n v="171120"/>
    <n v="276000"/>
    <n v="110880"/>
  </r>
  <r>
    <s v="15-04-2026"/>
    <x v="2"/>
    <x v="1"/>
    <x v="1"/>
    <n v="21"/>
    <n v="3500"/>
    <n v="44100"/>
    <n v="73500"/>
    <n v="32900"/>
  </r>
  <r>
    <s v="25-05-2026"/>
    <x v="2"/>
    <x v="3"/>
    <x v="1"/>
    <n v="42"/>
    <n v="3500"/>
    <n v="88200"/>
    <n v="147000"/>
    <n v="62300"/>
  </r>
  <r>
    <s v="03-07-2026"/>
    <x v="5"/>
    <x v="2"/>
    <x v="5"/>
    <n v="33"/>
    <n v="2200"/>
    <n v="42108"/>
    <n v="72600"/>
    <n v="32692"/>
  </r>
  <r>
    <s v="12-09-2026"/>
    <x v="7"/>
    <x v="0"/>
    <x v="3"/>
    <n v="49"/>
    <n v="25000"/>
    <n v="857500"/>
    <n v="1225000"/>
    <n v="392500"/>
  </r>
  <r>
    <s v="13-06-2026"/>
    <x v="3"/>
    <x v="2"/>
    <x v="5"/>
    <n v="27"/>
    <n v="2200"/>
    <n v="34452"/>
    <n v="59400"/>
    <n v="27148"/>
  </r>
  <r>
    <s v="24-01-2026"/>
    <x v="3"/>
    <x v="1"/>
    <x v="2"/>
    <n v="17"/>
    <n v="55000"/>
    <n v="673200"/>
    <n v="935000"/>
    <n v="316800"/>
  </r>
  <r>
    <s v="11-10-2026"/>
    <x v="2"/>
    <x v="2"/>
    <x v="8"/>
    <n v="13"/>
    <n v="15000"/>
    <n v="126750"/>
    <n v="195000"/>
    <n v="832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BF653B-619A-4F71-B0F7-C4FFD05FB01A}"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1:H22" firstHeaderRow="1" firstDataRow="1" firstDataCol="1"/>
  <pivotFields count="9">
    <pivotField showAll="0"/>
    <pivotField showAll="0">
      <items count="9">
        <item x="4"/>
        <item x="3"/>
        <item x="1"/>
        <item x="7"/>
        <item x="0"/>
        <item x="5"/>
        <item x="6"/>
        <item x="2"/>
        <item t="default"/>
      </items>
    </pivotField>
    <pivotField showAll="0">
      <items count="5">
        <item x="2"/>
        <item x="0"/>
        <item x="1"/>
        <item x="3"/>
        <item t="default"/>
      </items>
    </pivotField>
    <pivotField axis="axisRow" showAll="0">
      <items count="11">
        <item x="6"/>
        <item x="5"/>
        <item x="9"/>
        <item x="2"/>
        <item x="8"/>
        <item x="0"/>
        <item x="4"/>
        <item x="7"/>
        <item x="3"/>
        <item x="1"/>
        <item t="default"/>
      </items>
    </pivotField>
    <pivotField dataField="1" showAll="0"/>
    <pivotField showAll="0"/>
    <pivotField showAll="0"/>
    <pivotField showAll="0"/>
    <pivotField showAll="0"/>
  </pivotFields>
  <rowFields count="1">
    <field x="3"/>
  </rowFields>
  <rowItems count="11">
    <i>
      <x/>
    </i>
    <i>
      <x v="1"/>
    </i>
    <i>
      <x v="2"/>
    </i>
    <i>
      <x v="3"/>
    </i>
    <i>
      <x v="4"/>
    </i>
    <i>
      <x v="5"/>
    </i>
    <i>
      <x v="6"/>
    </i>
    <i>
      <x v="7"/>
    </i>
    <i>
      <x v="8"/>
    </i>
    <i>
      <x v="9"/>
    </i>
    <i t="grand">
      <x/>
    </i>
  </rowItems>
  <colItems count="1">
    <i/>
  </colItems>
  <dataFields count="1">
    <dataField name="Sum of unit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857EBD-2942-4C4F-BEB8-A8930061357A}"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8" firstHeaderRow="1" firstDataRow="1" firstDataCol="1"/>
  <pivotFields count="9">
    <pivotField showAll="0"/>
    <pivotField showAll="0">
      <items count="9">
        <item x="4"/>
        <item x="3"/>
        <item x="1"/>
        <item x="7"/>
        <item x="0"/>
        <item x="5"/>
        <item x="6"/>
        <item x="2"/>
        <item t="default"/>
      </items>
    </pivotField>
    <pivotField axis="axisRow" showAll="0">
      <items count="5">
        <item x="2"/>
        <item x="0"/>
        <item x="1"/>
        <item x="3"/>
        <item t="default"/>
      </items>
    </pivotField>
    <pivotField showAll="0"/>
    <pivotField showAll="0"/>
    <pivotField showAll="0"/>
    <pivotField showAll="0"/>
    <pivotField dataField="1" showAll="0"/>
    <pivotField showAll="0"/>
  </pivotFields>
  <rowFields count="1">
    <field x="2"/>
  </rowFields>
  <rowItems count="5">
    <i>
      <x/>
    </i>
    <i>
      <x v="1"/>
    </i>
    <i>
      <x v="2"/>
    </i>
    <i>
      <x v="3"/>
    </i>
    <i t="grand">
      <x/>
    </i>
  </rowItems>
  <colItems count="1">
    <i/>
  </colItems>
  <dataFields count="1">
    <dataField name="Sum of Total Sales" fld="7" baseField="0" baseItem="0" numFmtId="168"/>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A42EE3-5680-4665-9250-03D935A9B4C1}"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3:E14" firstHeaderRow="1" firstDataRow="1" firstDataCol="1"/>
  <pivotFields count="9">
    <pivotField showAll="0"/>
    <pivotField showAll="0">
      <items count="9">
        <item x="4"/>
        <item x="3"/>
        <item x="1"/>
        <item x="7"/>
        <item x="0"/>
        <item x="5"/>
        <item x="6"/>
        <item x="2"/>
        <item t="default"/>
      </items>
    </pivotField>
    <pivotField showAll="0"/>
    <pivotField axis="axisRow" showAll="0">
      <items count="11">
        <item x="6"/>
        <item x="5"/>
        <item x="9"/>
        <item x="2"/>
        <item x="8"/>
        <item x="0"/>
        <item x="4"/>
        <item x="7"/>
        <item x="3"/>
        <item x="1"/>
        <item t="default"/>
      </items>
    </pivotField>
    <pivotField showAll="0"/>
    <pivotField showAll="0"/>
    <pivotField showAll="0"/>
    <pivotField dataField="1" showAll="0"/>
    <pivotField showAll="0"/>
  </pivotFields>
  <rowFields count="1">
    <field x="3"/>
  </rowFields>
  <rowItems count="11">
    <i>
      <x/>
    </i>
    <i>
      <x v="1"/>
    </i>
    <i>
      <x v="2"/>
    </i>
    <i>
      <x v="3"/>
    </i>
    <i>
      <x v="4"/>
    </i>
    <i>
      <x v="5"/>
    </i>
    <i>
      <x v="6"/>
    </i>
    <i>
      <x v="7"/>
    </i>
    <i>
      <x v="8"/>
    </i>
    <i>
      <x v="9"/>
    </i>
    <i t="grand">
      <x/>
    </i>
  </rowItems>
  <colItems count="1">
    <i/>
  </colItems>
  <dataFields count="1">
    <dataField name="Sum of Total Sales" fld="7" baseField="0" baseItem="0" numFmtId="168"/>
  </dataFields>
  <formats count="1">
    <format dxfId="14">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2"/>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5"/>
          </reference>
        </references>
      </pivotArea>
    </chartFormat>
    <chartFormat chart="0" format="7">
      <pivotArea type="data" outline="0" fieldPosition="0">
        <references count="2">
          <reference field="4294967294" count="1" selected="0">
            <x v="0"/>
          </reference>
          <reference field="3" count="1" selected="0">
            <x v="6"/>
          </reference>
        </references>
      </pivotArea>
    </chartFormat>
    <chartFormat chart="0" format="8">
      <pivotArea type="data" outline="0" fieldPosition="0">
        <references count="2">
          <reference field="4294967294" count="1" selected="0">
            <x v="0"/>
          </reference>
          <reference field="3" count="1" selected="0">
            <x v="7"/>
          </reference>
        </references>
      </pivotArea>
    </chartFormat>
    <chartFormat chart="0" format="9">
      <pivotArea type="data" outline="0" fieldPosition="0">
        <references count="2">
          <reference field="4294967294" count="1" selected="0">
            <x v="0"/>
          </reference>
          <reference field="3" count="1" selected="0">
            <x v="8"/>
          </reference>
        </references>
      </pivotArea>
    </chartFormat>
    <chartFormat chart="0" format="10">
      <pivotArea type="data" outline="0" fieldPosition="0">
        <references count="2">
          <reference field="4294967294" count="1" selected="0">
            <x v="0"/>
          </reference>
          <reference field="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7C3D05-8B20-4DE3-A19E-ACDC41CB46D6}"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2" firstHeaderRow="1" firstDataRow="1" firstDataCol="1"/>
  <pivotFields count="9">
    <pivotField showAll="0"/>
    <pivotField axis="axisRow" showAll="0">
      <items count="9">
        <item x="4"/>
        <item x="3"/>
        <item x="1"/>
        <item x="7"/>
        <item x="0"/>
        <item x="5"/>
        <item x="6"/>
        <item x="2"/>
        <item t="default"/>
      </items>
    </pivotField>
    <pivotField showAll="0"/>
    <pivotField showAll="0">
      <items count="11">
        <item x="6"/>
        <item x="5"/>
        <item x="9"/>
        <item x="2"/>
        <item x="8"/>
        <item x="0"/>
        <item x="4"/>
        <item x="7"/>
        <item x="3"/>
        <item x="1"/>
        <item t="default"/>
      </items>
    </pivotField>
    <pivotField showAll="0"/>
    <pivotField showAll="0"/>
    <pivotField showAll="0"/>
    <pivotField dataField="1" showAll="0"/>
    <pivotField showAll="0"/>
  </pivotFields>
  <rowFields count="1">
    <field x="1"/>
  </rowFields>
  <rowItems count="9">
    <i>
      <x/>
    </i>
    <i>
      <x v="1"/>
    </i>
    <i>
      <x v="2"/>
    </i>
    <i>
      <x v="3"/>
    </i>
    <i>
      <x v="4"/>
    </i>
    <i>
      <x v="5"/>
    </i>
    <i>
      <x v="6"/>
    </i>
    <i>
      <x v="7"/>
    </i>
    <i t="grand">
      <x/>
    </i>
  </rowItems>
  <colItems count="1">
    <i/>
  </colItems>
  <dataFields count="1">
    <dataField name="Sum of Total Sales" fld="7" baseField="0" baseItem="0"/>
  </dataFields>
  <formats count="3">
    <format dxfId="19">
      <pivotArea grandRow="1" outline="0" collapsedLevelsAreSubtotals="1" fieldPosition="0"/>
    </format>
    <format dxfId="0">
      <pivotArea collapsedLevelsAreSubtotals="1" fieldPosition="0">
        <references count="1">
          <reference field="1" count="1">
            <x v="0"/>
          </reference>
        </references>
      </pivotArea>
    </format>
    <format dxfId="1">
      <pivotArea collapsedLevelsAreSubtotals="1" fieldPosition="0">
        <references count="1">
          <reference field="1" count="7">
            <x v="1"/>
            <x v="2"/>
            <x v="3"/>
            <x v="4"/>
            <x v="5"/>
            <x v="6"/>
            <x v="7"/>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74ACC22-CE95-4B8B-9962-5D6818AE50BA}" sourceName="Region">
  <pivotTables>
    <pivotTable tabId="2" name="PivotTable3"/>
  </pivotTables>
  <data>
    <tabular pivotCacheId="1960988362">
      <items count="4">
        <i x="2" s="1"/>
        <i x="0" s="1"/>
        <i x="1" s="1"/>
        <i x="3"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FB927093-A7DB-428B-A5A4-61D3F5B10453}" sourceName="Sales Person">
  <pivotTables>
    <pivotTable tabId="2" name="PivotTable1"/>
  </pivotTables>
  <data>
    <tabular pivotCacheId="1960988362">
      <items count="8">
        <i x="4" s="1"/>
        <i x="3" s="1"/>
        <i x="1" s="1"/>
        <i x="7" s="1"/>
        <i x="0" s="1"/>
        <i x="5" s="1"/>
        <i x="6" s="1"/>
        <i x="2"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5253493-C584-473B-8C06-C792A9CA4574}" sourceName="Product">
  <pivotTables>
    <pivotTable tabId="2" name="PivotTable1"/>
  </pivotTables>
  <data>
    <tabular pivotCacheId="1960988362">
      <items count="10">
        <i x="6" s="1"/>
        <i x="5" s="1"/>
        <i x="9" s="1"/>
        <i x="2" s="1"/>
        <i x="8" s="1"/>
        <i x="0" s="1"/>
        <i x="4" s="1"/>
        <i x="7" s="1"/>
        <i x="3" s="1"/>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111B2D4-5B20-4830-8CA4-47B26D8622CB}" cache="Slicer_Region" caption="Region" columnCount="2" showCaption="0" rowHeight="251883"/>
  <slicer name="Sales Person" xr10:uid="{93BCFD82-A37A-4E65-9034-452D3132B6C3}" cache="Slicer_Sales_Person" caption="Sales Person" showCaption="0" rowHeight="251883"/>
  <slicer name="Product" xr10:uid="{7679FA53-42B9-4F94-AFC8-7D741DD520F6}" cache="Slicer_Product" caption="Product" showCaption="0"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84E9E5-C2E9-4F07-8C98-7283719DF319}" name="Table2" displayName="Table2" ref="A1:I110" totalsRowShown="0">
  <autoFilter ref="A1:I110" xr:uid="{3884E9E5-C2E9-4F07-8C98-7283719DF319}"/>
  <tableColumns count="9">
    <tableColumn id="1" xr3:uid="{78DEF2EF-F195-4574-949E-9B53C40781F8}" name="Date"/>
    <tableColumn id="2" xr3:uid="{AFB8EB93-3404-425D-A4EC-ADF73209B105}" name="Sales Person"/>
    <tableColumn id="3" xr3:uid="{6CFCC28A-D479-4633-898A-8C174E5AB934}" name="Region"/>
    <tableColumn id="4" xr3:uid="{70E80E7C-72A3-48F3-B7AF-56EE49490C5C}" name="Product"/>
    <tableColumn id="5" xr3:uid="{3A825492-5CE3-4C92-AC4A-D1261978F750}" name="unitSold"/>
    <tableColumn id="6" xr3:uid="{DF78636C-60D7-4A6B-B914-5D90C08E4B49}" name="unitPrice"/>
    <tableColumn id="7" xr3:uid="{22AE63B9-F00C-4EAA-AFEA-67C7FDFC4308}" name="cost of Goods"/>
    <tableColumn id="8" xr3:uid="{43401588-C5D6-4F08-BF48-D0980A2C3855}" name="Total Sales"/>
    <tableColumn id="9" xr3:uid="{F612AAD4-8913-4319-BC39-3A9591680E4D}"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05BC7F-9DD8-46DF-961C-39AA415E35BE}" name="Table1" displayName="Table1" ref="A1:I501" totalsRowShown="0" headerRowDxfId="35" dataDxfId="34">
  <autoFilter ref="A1:I501" xr:uid="{9A05BC7F-9DD8-46DF-961C-39AA415E35BE}"/>
  <tableColumns count="9">
    <tableColumn id="1" xr3:uid="{B78E2D29-A50E-4EE3-B1B9-02B84A4A589F}" name="Date" dataDxfId="33"/>
    <tableColumn id="2" xr3:uid="{AFB63483-F7BF-41FB-AD21-53CF8499289D}" name="Sales Person" dataDxfId="32"/>
    <tableColumn id="3" xr3:uid="{F0994112-2FBD-4BEE-8E33-D3386D5B9F89}" name="Region" dataDxfId="31"/>
    <tableColumn id="4" xr3:uid="{76ED69D8-E5EC-46D5-A7E6-8C317A721062}" name="Product" dataDxfId="30"/>
    <tableColumn id="5" xr3:uid="{159D8C14-94E8-410E-BFFA-B454922B1C2E}" name="unitSold" dataDxfId="29"/>
    <tableColumn id="6" xr3:uid="{60357EE3-613F-4CD0-99FC-E4DE746B7A4C}" name="unitPrice" dataDxfId="28"/>
    <tableColumn id="7" xr3:uid="{6F657A34-87CA-4931-9F72-FE63FAAFBB84}" name="cost of Goods" dataDxfId="27"/>
    <tableColumn id="8" xr3:uid="{4D746BC0-58BF-47F0-8F4E-6E3FFDAA22FF}" name="Total Sales" dataDxfId="26"/>
    <tableColumn id="9" xr3:uid="{F672C944-3B93-483D-A140-AF83661BABBA}" name="Profit" dataDxfId="25">
      <calculatedColumnFormula>H2-(G2-F2)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1A879-6896-491A-AF56-BD3CC0F65BF8}">
  <dimension ref="A1:I110"/>
  <sheetViews>
    <sheetView workbookViewId="0">
      <selection activeCell="K11" sqref="K11"/>
    </sheetView>
  </sheetViews>
  <sheetFormatPr defaultRowHeight="14.5"/>
  <cols>
    <col min="2" max="2" width="13.453125" customWidth="1"/>
    <col min="4" max="4" width="9.36328125" customWidth="1"/>
    <col min="5" max="5" width="9.90625" customWidth="1"/>
    <col min="6" max="6" width="10.453125" customWidth="1"/>
    <col min="7" max="7" width="14" customWidth="1"/>
    <col min="8" max="8" width="11.81640625" customWidth="1"/>
  </cols>
  <sheetData>
    <row r="1" spans="1:9">
      <c r="A1" t="s">
        <v>0</v>
      </c>
      <c r="B1" t="s">
        <v>1</v>
      </c>
      <c r="C1" t="s">
        <v>2</v>
      </c>
      <c r="D1" t="s">
        <v>3</v>
      </c>
      <c r="E1" t="s">
        <v>4</v>
      </c>
      <c r="F1" t="s">
        <v>5</v>
      </c>
      <c r="G1" t="s">
        <v>6</v>
      </c>
      <c r="H1" t="s">
        <v>7</v>
      </c>
      <c r="I1" t="s">
        <v>8</v>
      </c>
    </row>
    <row r="2" spans="1:9">
      <c r="A2" t="s">
        <v>9</v>
      </c>
      <c r="B2" t="s">
        <v>10</v>
      </c>
      <c r="C2" t="s">
        <v>11</v>
      </c>
      <c r="D2" t="s">
        <v>12</v>
      </c>
      <c r="E2">
        <v>16</v>
      </c>
      <c r="F2">
        <v>800</v>
      </c>
      <c r="G2">
        <v>6400</v>
      </c>
      <c r="H2">
        <v>12800</v>
      </c>
      <c r="I2">
        <v>7200</v>
      </c>
    </row>
    <row r="3" spans="1:9">
      <c r="A3" t="s">
        <v>13</v>
      </c>
      <c r="B3" t="s">
        <v>14</v>
      </c>
      <c r="C3" t="s">
        <v>11</v>
      </c>
      <c r="D3" t="s">
        <v>15</v>
      </c>
      <c r="E3">
        <v>6</v>
      </c>
      <c r="F3">
        <v>3500</v>
      </c>
      <c r="G3">
        <v>12600</v>
      </c>
      <c r="H3">
        <v>21000</v>
      </c>
      <c r="I3">
        <v>11900</v>
      </c>
    </row>
    <row r="4" spans="1:9">
      <c r="A4" t="s">
        <v>16</v>
      </c>
      <c r="B4" t="s">
        <v>17</v>
      </c>
      <c r="C4" t="s">
        <v>11</v>
      </c>
      <c r="D4" t="s">
        <v>18</v>
      </c>
      <c r="E4">
        <v>6</v>
      </c>
      <c r="F4">
        <v>55000</v>
      </c>
      <c r="G4">
        <v>237600</v>
      </c>
      <c r="H4">
        <v>330000</v>
      </c>
      <c r="I4">
        <v>147400</v>
      </c>
    </row>
    <row r="5" spans="1:9">
      <c r="A5" t="s">
        <v>19</v>
      </c>
      <c r="B5" t="s">
        <v>20</v>
      </c>
      <c r="C5" t="s">
        <v>11</v>
      </c>
      <c r="D5" t="s">
        <v>15</v>
      </c>
      <c r="E5">
        <v>13</v>
      </c>
      <c r="F5">
        <v>3500</v>
      </c>
      <c r="G5">
        <v>27300</v>
      </c>
      <c r="H5">
        <v>45500</v>
      </c>
      <c r="I5">
        <v>21700</v>
      </c>
    </row>
    <row r="6" spans="1:9">
      <c r="A6" t="s">
        <v>305</v>
      </c>
      <c r="B6" t="s">
        <v>47</v>
      </c>
      <c r="C6" t="s">
        <v>11</v>
      </c>
      <c r="D6" t="s">
        <v>23</v>
      </c>
      <c r="E6">
        <v>49</v>
      </c>
      <c r="F6">
        <v>25000</v>
      </c>
      <c r="G6">
        <v>857500</v>
      </c>
      <c r="H6">
        <v>1225000</v>
      </c>
      <c r="I6">
        <v>392500</v>
      </c>
    </row>
    <row r="7" spans="1:9">
      <c r="A7" t="s">
        <v>295</v>
      </c>
      <c r="B7" t="s">
        <v>25</v>
      </c>
      <c r="C7" t="s">
        <v>11</v>
      </c>
      <c r="D7" t="s">
        <v>60</v>
      </c>
      <c r="E7">
        <v>49</v>
      </c>
      <c r="F7">
        <v>1500</v>
      </c>
      <c r="G7">
        <v>40425</v>
      </c>
      <c r="H7">
        <v>73500</v>
      </c>
      <c r="I7">
        <v>34575</v>
      </c>
    </row>
    <row r="8" spans="1:9">
      <c r="A8" t="s">
        <v>296</v>
      </c>
      <c r="B8" t="s">
        <v>33</v>
      </c>
      <c r="C8" t="s">
        <v>11</v>
      </c>
      <c r="D8" t="s">
        <v>51</v>
      </c>
      <c r="E8">
        <v>35</v>
      </c>
      <c r="F8">
        <v>15000</v>
      </c>
      <c r="G8">
        <v>341250</v>
      </c>
      <c r="H8">
        <v>525000</v>
      </c>
      <c r="I8">
        <v>198750</v>
      </c>
    </row>
    <row r="9" spans="1:9">
      <c r="A9" t="s">
        <v>28</v>
      </c>
      <c r="B9" t="s">
        <v>17</v>
      </c>
      <c r="C9" t="s">
        <v>11</v>
      </c>
      <c r="D9" t="s">
        <v>27</v>
      </c>
      <c r="E9">
        <v>23</v>
      </c>
      <c r="F9">
        <v>2200</v>
      </c>
      <c r="G9">
        <v>29348</v>
      </c>
      <c r="H9">
        <v>50600</v>
      </c>
      <c r="I9">
        <v>23452</v>
      </c>
    </row>
    <row r="10" spans="1:9">
      <c r="A10" t="s">
        <v>29</v>
      </c>
      <c r="B10" t="s">
        <v>30</v>
      </c>
      <c r="C10" t="s">
        <v>11</v>
      </c>
      <c r="D10" t="s">
        <v>23</v>
      </c>
      <c r="E10">
        <v>35</v>
      </c>
      <c r="F10">
        <v>25000</v>
      </c>
      <c r="G10">
        <v>612500</v>
      </c>
      <c r="H10">
        <v>875000</v>
      </c>
      <c r="I10">
        <v>287500</v>
      </c>
    </row>
    <row r="11" spans="1:9">
      <c r="A11" t="s">
        <v>31</v>
      </c>
      <c r="B11" t="s">
        <v>17</v>
      </c>
      <c r="C11" t="s">
        <v>11</v>
      </c>
      <c r="D11" t="s">
        <v>15</v>
      </c>
      <c r="E11">
        <v>19</v>
      </c>
      <c r="F11">
        <v>3500</v>
      </c>
      <c r="G11">
        <v>39900</v>
      </c>
      <c r="H11">
        <v>66500</v>
      </c>
      <c r="I11">
        <v>30100</v>
      </c>
    </row>
    <row r="12" spans="1:9">
      <c r="A12" t="s">
        <v>295</v>
      </c>
      <c r="B12" t="s">
        <v>17</v>
      </c>
      <c r="C12" t="s">
        <v>11</v>
      </c>
      <c r="D12" t="s">
        <v>15</v>
      </c>
      <c r="E12">
        <v>9</v>
      </c>
      <c r="F12">
        <v>3500</v>
      </c>
      <c r="G12">
        <v>18900</v>
      </c>
      <c r="H12">
        <v>31500</v>
      </c>
      <c r="I12">
        <v>16100</v>
      </c>
    </row>
    <row r="13" spans="1:9">
      <c r="A13" t="s">
        <v>196</v>
      </c>
      <c r="B13" t="s">
        <v>10</v>
      </c>
      <c r="C13" t="s">
        <v>11</v>
      </c>
      <c r="D13" t="s">
        <v>34</v>
      </c>
      <c r="E13">
        <v>31</v>
      </c>
      <c r="F13">
        <v>45000</v>
      </c>
      <c r="G13">
        <v>976500</v>
      </c>
      <c r="H13">
        <v>1395000</v>
      </c>
      <c r="I13">
        <v>463500</v>
      </c>
    </row>
    <row r="14" spans="1:9">
      <c r="A14" t="s">
        <v>19</v>
      </c>
      <c r="B14" t="s">
        <v>10</v>
      </c>
      <c r="C14" t="s">
        <v>11</v>
      </c>
      <c r="D14" t="s">
        <v>26</v>
      </c>
      <c r="E14">
        <v>23</v>
      </c>
      <c r="F14">
        <v>12000</v>
      </c>
      <c r="G14">
        <v>187680</v>
      </c>
      <c r="H14">
        <v>276000</v>
      </c>
      <c r="I14">
        <v>100320</v>
      </c>
    </row>
    <row r="15" spans="1:9">
      <c r="A15" t="s">
        <v>84</v>
      </c>
      <c r="B15" t="s">
        <v>47</v>
      </c>
      <c r="C15" t="s">
        <v>11</v>
      </c>
      <c r="D15" t="s">
        <v>15</v>
      </c>
      <c r="E15">
        <v>29</v>
      </c>
      <c r="F15">
        <v>3500</v>
      </c>
      <c r="G15">
        <v>60900</v>
      </c>
      <c r="H15">
        <v>101500</v>
      </c>
      <c r="I15">
        <v>44100</v>
      </c>
    </row>
    <row r="16" spans="1:9">
      <c r="A16" t="s">
        <v>39</v>
      </c>
      <c r="B16" t="s">
        <v>30</v>
      </c>
      <c r="C16" t="s">
        <v>11</v>
      </c>
      <c r="D16" t="s">
        <v>40</v>
      </c>
      <c r="E16">
        <v>41</v>
      </c>
      <c r="F16">
        <v>6000</v>
      </c>
      <c r="G16">
        <v>152520</v>
      </c>
      <c r="H16">
        <v>246000</v>
      </c>
      <c r="I16">
        <v>99480</v>
      </c>
    </row>
    <row r="17" spans="1:9">
      <c r="A17" t="s">
        <v>292</v>
      </c>
      <c r="B17" t="s">
        <v>47</v>
      </c>
      <c r="C17" t="s">
        <v>11</v>
      </c>
      <c r="D17" t="s">
        <v>60</v>
      </c>
      <c r="E17">
        <v>46</v>
      </c>
      <c r="F17">
        <v>1500</v>
      </c>
      <c r="G17">
        <v>37950</v>
      </c>
      <c r="H17">
        <v>69000</v>
      </c>
      <c r="I17">
        <v>32550</v>
      </c>
    </row>
    <row r="18" spans="1:9">
      <c r="A18" t="s">
        <v>49</v>
      </c>
      <c r="B18" t="s">
        <v>10</v>
      </c>
      <c r="C18" t="s">
        <v>11</v>
      </c>
      <c r="D18" t="s">
        <v>18</v>
      </c>
      <c r="E18">
        <v>36</v>
      </c>
      <c r="F18">
        <v>55000</v>
      </c>
      <c r="G18">
        <v>1425600</v>
      </c>
      <c r="H18">
        <v>1980000</v>
      </c>
      <c r="I18">
        <v>609400</v>
      </c>
    </row>
    <row r="19" spans="1:9">
      <c r="A19" t="s">
        <v>114</v>
      </c>
      <c r="B19" t="s">
        <v>25</v>
      </c>
      <c r="C19" t="s">
        <v>11</v>
      </c>
      <c r="D19" t="s">
        <v>23</v>
      </c>
      <c r="E19">
        <v>20</v>
      </c>
      <c r="F19">
        <v>25000</v>
      </c>
      <c r="G19">
        <v>350000</v>
      </c>
      <c r="H19">
        <v>500000</v>
      </c>
      <c r="I19">
        <v>175000</v>
      </c>
    </row>
    <row r="20" spans="1:9">
      <c r="A20" t="s">
        <v>290</v>
      </c>
      <c r="B20" t="s">
        <v>17</v>
      </c>
      <c r="C20" t="s">
        <v>11</v>
      </c>
      <c r="D20" t="s">
        <v>51</v>
      </c>
      <c r="E20">
        <v>9</v>
      </c>
      <c r="F20">
        <v>15000</v>
      </c>
      <c r="G20">
        <v>87750</v>
      </c>
      <c r="H20">
        <v>135000</v>
      </c>
      <c r="I20">
        <v>62250</v>
      </c>
    </row>
    <row r="21" spans="1:9">
      <c r="A21" t="s">
        <v>91</v>
      </c>
      <c r="B21" t="s">
        <v>20</v>
      </c>
      <c r="C21" t="s">
        <v>11</v>
      </c>
      <c r="D21" t="s">
        <v>27</v>
      </c>
      <c r="E21">
        <v>11</v>
      </c>
      <c r="F21">
        <v>2200</v>
      </c>
      <c r="G21">
        <v>14036</v>
      </c>
      <c r="H21">
        <v>24200</v>
      </c>
      <c r="I21">
        <v>12364</v>
      </c>
    </row>
    <row r="22" spans="1:9">
      <c r="A22" t="s">
        <v>288</v>
      </c>
      <c r="B22" t="s">
        <v>25</v>
      </c>
      <c r="C22" t="s">
        <v>11</v>
      </c>
      <c r="D22" t="s">
        <v>12</v>
      </c>
      <c r="E22">
        <v>37</v>
      </c>
      <c r="F22">
        <v>800</v>
      </c>
      <c r="G22">
        <v>14800</v>
      </c>
      <c r="H22">
        <v>29600</v>
      </c>
      <c r="I22">
        <v>15600</v>
      </c>
    </row>
    <row r="23" spans="1:9">
      <c r="A23" t="s">
        <v>78</v>
      </c>
      <c r="B23" t="s">
        <v>25</v>
      </c>
      <c r="C23" t="s">
        <v>11</v>
      </c>
      <c r="D23" t="s">
        <v>40</v>
      </c>
      <c r="E23">
        <v>15</v>
      </c>
      <c r="F23">
        <v>6000</v>
      </c>
      <c r="G23">
        <v>55800</v>
      </c>
      <c r="H23">
        <v>90000</v>
      </c>
      <c r="I23">
        <v>40200</v>
      </c>
    </row>
    <row r="24" spans="1:9">
      <c r="A24" t="s">
        <v>50</v>
      </c>
      <c r="B24" t="s">
        <v>25</v>
      </c>
      <c r="C24" t="s">
        <v>11</v>
      </c>
      <c r="D24" t="s">
        <v>51</v>
      </c>
      <c r="E24">
        <v>41</v>
      </c>
      <c r="F24">
        <v>15000</v>
      </c>
      <c r="G24">
        <v>399750</v>
      </c>
      <c r="H24">
        <v>615000</v>
      </c>
      <c r="I24">
        <v>230250</v>
      </c>
    </row>
    <row r="25" spans="1:9">
      <c r="A25" t="s">
        <v>52</v>
      </c>
      <c r="B25" t="s">
        <v>17</v>
      </c>
      <c r="C25" t="s">
        <v>11</v>
      </c>
      <c r="D25" t="s">
        <v>26</v>
      </c>
      <c r="E25">
        <v>25</v>
      </c>
      <c r="F25">
        <v>12000</v>
      </c>
      <c r="G25">
        <v>204000</v>
      </c>
      <c r="H25">
        <v>300000</v>
      </c>
      <c r="I25">
        <v>108000</v>
      </c>
    </row>
    <row r="26" spans="1:9">
      <c r="A26" t="s">
        <v>190</v>
      </c>
      <c r="B26" t="s">
        <v>30</v>
      </c>
      <c r="C26" t="s">
        <v>11</v>
      </c>
      <c r="D26" t="s">
        <v>12</v>
      </c>
      <c r="E26">
        <v>46</v>
      </c>
      <c r="F26">
        <v>800</v>
      </c>
      <c r="G26">
        <v>18400</v>
      </c>
      <c r="H26">
        <v>36800</v>
      </c>
      <c r="I26">
        <v>19200</v>
      </c>
    </row>
    <row r="27" spans="1:9">
      <c r="A27" t="s">
        <v>282</v>
      </c>
      <c r="B27" t="s">
        <v>20</v>
      </c>
      <c r="C27" t="s">
        <v>11</v>
      </c>
      <c r="D27" t="s">
        <v>40</v>
      </c>
      <c r="E27">
        <v>31</v>
      </c>
      <c r="F27">
        <v>6000</v>
      </c>
      <c r="G27">
        <v>115320</v>
      </c>
      <c r="H27">
        <v>186000</v>
      </c>
      <c r="I27">
        <v>76680</v>
      </c>
    </row>
    <row r="28" spans="1:9">
      <c r="A28" t="s">
        <v>281</v>
      </c>
      <c r="B28" t="s">
        <v>33</v>
      </c>
      <c r="C28" t="s">
        <v>11</v>
      </c>
      <c r="D28" t="s">
        <v>26</v>
      </c>
      <c r="E28">
        <v>38</v>
      </c>
      <c r="F28">
        <v>12000</v>
      </c>
      <c r="G28">
        <v>310080</v>
      </c>
      <c r="H28">
        <v>456000</v>
      </c>
      <c r="I28">
        <v>157920</v>
      </c>
    </row>
    <row r="29" spans="1:9">
      <c r="A29" t="s">
        <v>56</v>
      </c>
      <c r="B29" t="s">
        <v>14</v>
      </c>
      <c r="C29" t="s">
        <v>11</v>
      </c>
      <c r="D29" t="s">
        <v>12</v>
      </c>
      <c r="E29">
        <v>41</v>
      </c>
      <c r="F29">
        <v>800</v>
      </c>
      <c r="G29">
        <v>16400</v>
      </c>
      <c r="H29">
        <v>32800</v>
      </c>
      <c r="I29">
        <v>17200</v>
      </c>
    </row>
    <row r="30" spans="1:9">
      <c r="A30" t="s">
        <v>262</v>
      </c>
      <c r="B30" t="s">
        <v>17</v>
      </c>
      <c r="C30" t="s">
        <v>11</v>
      </c>
      <c r="D30" t="s">
        <v>18</v>
      </c>
      <c r="E30">
        <v>3</v>
      </c>
      <c r="F30">
        <v>55000</v>
      </c>
      <c r="G30">
        <v>118800</v>
      </c>
      <c r="H30">
        <v>165000</v>
      </c>
      <c r="I30">
        <v>101200</v>
      </c>
    </row>
    <row r="31" spans="1:9">
      <c r="A31" t="s">
        <v>274</v>
      </c>
      <c r="B31" t="s">
        <v>10</v>
      </c>
      <c r="C31" t="s">
        <v>11</v>
      </c>
      <c r="D31" t="s">
        <v>12</v>
      </c>
      <c r="E31">
        <v>25</v>
      </c>
      <c r="F31">
        <v>800</v>
      </c>
      <c r="G31">
        <v>10000</v>
      </c>
      <c r="H31">
        <v>20000</v>
      </c>
      <c r="I31">
        <v>10800</v>
      </c>
    </row>
    <row r="32" spans="1:9">
      <c r="A32" t="s">
        <v>227</v>
      </c>
      <c r="B32" t="s">
        <v>33</v>
      </c>
      <c r="C32" t="s">
        <v>11</v>
      </c>
      <c r="D32" t="s">
        <v>27</v>
      </c>
      <c r="E32">
        <v>16</v>
      </c>
      <c r="F32">
        <v>2200</v>
      </c>
      <c r="G32">
        <v>20416</v>
      </c>
      <c r="H32">
        <v>35200</v>
      </c>
      <c r="I32">
        <v>16984</v>
      </c>
    </row>
    <row r="33" spans="1:9">
      <c r="A33" t="s">
        <v>61</v>
      </c>
      <c r="B33" t="s">
        <v>10</v>
      </c>
      <c r="C33" t="s">
        <v>11</v>
      </c>
      <c r="D33" t="s">
        <v>23</v>
      </c>
      <c r="E33">
        <v>5</v>
      </c>
      <c r="F33">
        <v>25000</v>
      </c>
      <c r="G33">
        <v>87500</v>
      </c>
      <c r="H33">
        <v>125000</v>
      </c>
      <c r="I33">
        <v>62500</v>
      </c>
    </row>
    <row r="34" spans="1:9">
      <c r="A34" t="s">
        <v>269</v>
      </c>
      <c r="B34" t="s">
        <v>10</v>
      </c>
      <c r="C34" t="s">
        <v>11</v>
      </c>
      <c r="D34" t="s">
        <v>40</v>
      </c>
      <c r="E34">
        <v>17</v>
      </c>
      <c r="F34">
        <v>6000</v>
      </c>
      <c r="G34">
        <v>63240</v>
      </c>
      <c r="H34">
        <v>102000</v>
      </c>
      <c r="I34">
        <v>44760</v>
      </c>
    </row>
    <row r="35" spans="1:9">
      <c r="A35" t="s">
        <v>182</v>
      </c>
      <c r="B35" t="s">
        <v>33</v>
      </c>
      <c r="C35" t="s">
        <v>11</v>
      </c>
      <c r="D35" t="s">
        <v>23</v>
      </c>
      <c r="E35">
        <v>30</v>
      </c>
      <c r="F35">
        <v>25000</v>
      </c>
      <c r="G35">
        <v>525000</v>
      </c>
      <c r="H35">
        <v>750000</v>
      </c>
      <c r="I35">
        <v>250000</v>
      </c>
    </row>
    <row r="36" spans="1:9">
      <c r="A36" t="s">
        <v>227</v>
      </c>
      <c r="B36" t="s">
        <v>10</v>
      </c>
      <c r="C36" t="s">
        <v>11</v>
      </c>
      <c r="D36" t="s">
        <v>12</v>
      </c>
      <c r="E36">
        <v>26</v>
      </c>
      <c r="F36">
        <v>800</v>
      </c>
      <c r="G36">
        <v>10400</v>
      </c>
      <c r="H36">
        <v>20800</v>
      </c>
      <c r="I36">
        <v>11200</v>
      </c>
    </row>
    <row r="37" spans="1:9">
      <c r="A37" t="s">
        <v>117</v>
      </c>
      <c r="B37" t="s">
        <v>14</v>
      </c>
      <c r="C37" t="s">
        <v>11</v>
      </c>
      <c r="D37" t="s">
        <v>23</v>
      </c>
      <c r="E37">
        <v>12</v>
      </c>
      <c r="F37">
        <v>25000</v>
      </c>
      <c r="G37">
        <v>210000</v>
      </c>
      <c r="H37">
        <v>300000</v>
      </c>
      <c r="I37">
        <v>115000</v>
      </c>
    </row>
    <row r="38" spans="1:9">
      <c r="A38" t="s">
        <v>225</v>
      </c>
      <c r="B38" t="s">
        <v>47</v>
      </c>
      <c r="C38" t="s">
        <v>11</v>
      </c>
      <c r="D38" t="s">
        <v>51</v>
      </c>
      <c r="E38">
        <v>5</v>
      </c>
      <c r="F38">
        <v>15000</v>
      </c>
      <c r="G38">
        <v>48750</v>
      </c>
      <c r="H38">
        <v>75000</v>
      </c>
      <c r="I38">
        <v>41250</v>
      </c>
    </row>
    <row r="39" spans="1:9">
      <c r="A39" t="s">
        <v>245</v>
      </c>
      <c r="B39" t="s">
        <v>14</v>
      </c>
      <c r="C39" t="s">
        <v>11</v>
      </c>
      <c r="D39" t="s">
        <v>51</v>
      </c>
      <c r="E39">
        <v>39</v>
      </c>
      <c r="F39">
        <v>15000</v>
      </c>
      <c r="G39">
        <v>380250</v>
      </c>
      <c r="H39">
        <v>585000</v>
      </c>
      <c r="I39">
        <v>219750</v>
      </c>
    </row>
    <row r="40" spans="1:9">
      <c r="A40" t="s">
        <v>215</v>
      </c>
      <c r="B40" t="s">
        <v>25</v>
      </c>
      <c r="C40" t="s">
        <v>11</v>
      </c>
      <c r="D40" t="s">
        <v>26</v>
      </c>
      <c r="E40">
        <v>24</v>
      </c>
      <c r="F40">
        <v>12000</v>
      </c>
      <c r="G40">
        <v>195840</v>
      </c>
      <c r="H40">
        <v>288000</v>
      </c>
      <c r="I40">
        <v>104160</v>
      </c>
    </row>
    <row r="41" spans="1:9">
      <c r="A41" t="s">
        <v>253</v>
      </c>
      <c r="B41" t="s">
        <v>33</v>
      </c>
      <c r="C41" t="s">
        <v>11</v>
      </c>
      <c r="D41" t="s">
        <v>27</v>
      </c>
      <c r="E41">
        <v>16</v>
      </c>
      <c r="F41">
        <v>2200</v>
      </c>
      <c r="G41">
        <v>20416</v>
      </c>
      <c r="H41">
        <v>35200</v>
      </c>
      <c r="I41">
        <v>16984</v>
      </c>
    </row>
    <row r="42" spans="1:9">
      <c r="A42" t="s">
        <v>158</v>
      </c>
      <c r="B42" t="s">
        <v>14</v>
      </c>
      <c r="C42" t="s">
        <v>11</v>
      </c>
      <c r="D42" t="s">
        <v>15</v>
      </c>
      <c r="E42">
        <v>24</v>
      </c>
      <c r="F42">
        <v>3500</v>
      </c>
      <c r="G42">
        <v>50400</v>
      </c>
      <c r="H42">
        <v>84000</v>
      </c>
      <c r="I42">
        <v>37100</v>
      </c>
    </row>
    <row r="43" spans="1:9">
      <c r="A43" t="s">
        <v>247</v>
      </c>
      <c r="B43" t="s">
        <v>25</v>
      </c>
      <c r="C43" t="s">
        <v>11</v>
      </c>
      <c r="D43" t="s">
        <v>18</v>
      </c>
      <c r="E43">
        <v>17</v>
      </c>
      <c r="F43">
        <v>55000</v>
      </c>
      <c r="G43">
        <v>673200</v>
      </c>
      <c r="H43">
        <v>935000</v>
      </c>
      <c r="I43">
        <v>316800</v>
      </c>
    </row>
    <row r="44" spans="1:9">
      <c r="A44" t="s">
        <v>246</v>
      </c>
      <c r="B44" t="s">
        <v>20</v>
      </c>
      <c r="C44" t="s">
        <v>11</v>
      </c>
      <c r="D44" t="s">
        <v>27</v>
      </c>
      <c r="E44">
        <v>7</v>
      </c>
      <c r="F44">
        <v>2200</v>
      </c>
      <c r="G44">
        <v>8932</v>
      </c>
      <c r="H44">
        <v>15400</v>
      </c>
      <c r="I44">
        <v>8668</v>
      </c>
    </row>
    <row r="45" spans="1:9">
      <c r="A45" t="s">
        <v>72</v>
      </c>
      <c r="B45" t="s">
        <v>47</v>
      </c>
      <c r="C45" t="s">
        <v>11</v>
      </c>
      <c r="D45" t="s">
        <v>34</v>
      </c>
      <c r="E45">
        <v>4</v>
      </c>
      <c r="F45">
        <v>45000</v>
      </c>
      <c r="G45">
        <v>126000</v>
      </c>
      <c r="H45">
        <v>180000</v>
      </c>
      <c r="I45">
        <v>99000</v>
      </c>
    </row>
    <row r="46" spans="1:9">
      <c r="A46" t="s">
        <v>73</v>
      </c>
      <c r="B46" t="s">
        <v>33</v>
      </c>
      <c r="C46" t="s">
        <v>11</v>
      </c>
      <c r="D46" t="s">
        <v>60</v>
      </c>
      <c r="E46">
        <v>13</v>
      </c>
      <c r="F46">
        <v>1500</v>
      </c>
      <c r="G46">
        <v>10725</v>
      </c>
      <c r="H46">
        <v>19500</v>
      </c>
      <c r="I46">
        <v>10275</v>
      </c>
    </row>
    <row r="47" spans="1:9">
      <c r="A47" t="s">
        <v>160</v>
      </c>
      <c r="B47" t="s">
        <v>33</v>
      </c>
      <c r="C47" t="s">
        <v>11</v>
      </c>
      <c r="D47" t="s">
        <v>26</v>
      </c>
      <c r="E47">
        <v>4</v>
      </c>
      <c r="F47">
        <v>12000</v>
      </c>
      <c r="G47">
        <v>32640</v>
      </c>
      <c r="H47">
        <v>48000</v>
      </c>
      <c r="I47">
        <v>27360</v>
      </c>
    </row>
    <row r="48" spans="1:9">
      <c r="A48" t="s">
        <v>76</v>
      </c>
      <c r="B48" t="s">
        <v>33</v>
      </c>
      <c r="C48" t="s">
        <v>11</v>
      </c>
      <c r="D48" t="s">
        <v>15</v>
      </c>
      <c r="E48">
        <v>8</v>
      </c>
      <c r="F48">
        <v>3500</v>
      </c>
      <c r="G48">
        <v>16800</v>
      </c>
      <c r="H48">
        <v>28000</v>
      </c>
      <c r="I48">
        <v>14700</v>
      </c>
    </row>
    <row r="49" spans="1:9">
      <c r="A49" t="s">
        <v>75</v>
      </c>
      <c r="B49" t="s">
        <v>10</v>
      </c>
      <c r="C49" t="s">
        <v>11</v>
      </c>
      <c r="D49" t="s">
        <v>15</v>
      </c>
      <c r="E49">
        <v>1</v>
      </c>
      <c r="F49">
        <v>3500</v>
      </c>
      <c r="G49">
        <v>2100</v>
      </c>
      <c r="H49">
        <v>3500</v>
      </c>
      <c r="I49">
        <v>4900</v>
      </c>
    </row>
    <row r="50" spans="1:9">
      <c r="A50" t="s">
        <v>236</v>
      </c>
      <c r="B50" t="s">
        <v>33</v>
      </c>
      <c r="C50" t="s">
        <v>11</v>
      </c>
      <c r="D50" t="s">
        <v>27</v>
      </c>
      <c r="E50">
        <v>7</v>
      </c>
      <c r="F50">
        <v>2200</v>
      </c>
      <c r="G50">
        <v>8932</v>
      </c>
      <c r="H50">
        <v>15400</v>
      </c>
      <c r="I50">
        <v>8668</v>
      </c>
    </row>
    <row r="51" spans="1:9">
      <c r="A51" t="s">
        <v>120</v>
      </c>
      <c r="B51" t="s">
        <v>14</v>
      </c>
      <c r="C51" t="s">
        <v>11</v>
      </c>
      <c r="D51" t="s">
        <v>23</v>
      </c>
      <c r="E51">
        <v>7</v>
      </c>
      <c r="F51">
        <v>25000</v>
      </c>
      <c r="G51">
        <v>122500</v>
      </c>
      <c r="H51">
        <v>175000</v>
      </c>
      <c r="I51">
        <v>77500</v>
      </c>
    </row>
    <row r="52" spans="1:9">
      <c r="A52" t="s">
        <v>157</v>
      </c>
      <c r="B52" t="s">
        <v>30</v>
      </c>
      <c r="C52" t="s">
        <v>11</v>
      </c>
      <c r="D52" t="s">
        <v>27</v>
      </c>
      <c r="E52">
        <v>33</v>
      </c>
      <c r="F52">
        <v>2200</v>
      </c>
      <c r="G52">
        <v>42108</v>
      </c>
      <c r="H52">
        <v>72600</v>
      </c>
      <c r="I52">
        <v>32692</v>
      </c>
    </row>
    <row r="53" spans="1:9">
      <c r="A53" t="s">
        <v>138</v>
      </c>
      <c r="B53" t="s">
        <v>17</v>
      </c>
      <c r="C53" t="s">
        <v>11</v>
      </c>
      <c r="D53" t="s">
        <v>27</v>
      </c>
      <c r="E53">
        <v>11</v>
      </c>
      <c r="F53">
        <v>2200</v>
      </c>
      <c r="G53">
        <v>14036</v>
      </c>
      <c r="H53">
        <v>24200</v>
      </c>
      <c r="I53">
        <v>12364</v>
      </c>
    </row>
    <row r="54" spans="1:9">
      <c r="A54" t="s">
        <v>79</v>
      </c>
      <c r="B54" t="s">
        <v>20</v>
      </c>
      <c r="C54" t="s">
        <v>11</v>
      </c>
      <c r="D54" t="s">
        <v>40</v>
      </c>
      <c r="E54">
        <v>48</v>
      </c>
      <c r="F54">
        <v>6000</v>
      </c>
      <c r="G54">
        <v>178560</v>
      </c>
      <c r="H54">
        <v>288000</v>
      </c>
      <c r="I54">
        <v>115440</v>
      </c>
    </row>
    <row r="55" spans="1:9">
      <c r="A55" t="s">
        <v>228</v>
      </c>
      <c r="B55" t="s">
        <v>17</v>
      </c>
      <c r="C55" t="s">
        <v>11</v>
      </c>
      <c r="D55" t="s">
        <v>23</v>
      </c>
      <c r="E55">
        <v>5</v>
      </c>
      <c r="F55">
        <v>25000</v>
      </c>
      <c r="G55">
        <v>87500</v>
      </c>
      <c r="H55">
        <v>125000</v>
      </c>
      <c r="I55">
        <v>62500</v>
      </c>
    </row>
    <row r="56" spans="1:9">
      <c r="A56" t="s">
        <v>130</v>
      </c>
      <c r="B56" t="s">
        <v>33</v>
      </c>
      <c r="C56" t="s">
        <v>11</v>
      </c>
      <c r="D56" t="s">
        <v>26</v>
      </c>
      <c r="E56">
        <v>48</v>
      </c>
      <c r="F56">
        <v>12000</v>
      </c>
      <c r="G56">
        <v>391680</v>
      </c>
      <c r="H56">
        <v>576000</v>
      </c>
      <c r="I56">
        <v>196320</v>
      </c>
    </row>
    <row r="57" spans="1:9">
      <c r="A57" t="s">
        <v>82</v>
      </c>
      <c r="B57" t="s">
        <v>14</v>
      </c>
      <c r="C57" t="s">
        <v>11</v>
      </c>
      <c r="D57" t="s">
        <v>40</v>
      </c>
      <c r="E57">
        <v>5</v>
      </c>
      <c r="F57">
        <v>6000</v>
      </c>
      <c r="G57">
        <v>18600</v>
      </c>
      <c r="H57">
        <v>30000</v>
      </c>
      <c r="I57">
        <v>17400</v>
      </c>
    </row>
    <row r="58" spans="1:9">
      <c r="A58" t="s">
        <v>226</v>
      </c>
      <c r="B58" t="s">
        <v>25</v>
      </c>
      <c r="C58" t="s">
        <v>11</v>
      </c>
      <c r="D58" t="s">
        <v>60</v>
      </c>
      <c r="E58">
        <v>20</v>
      </c>
      <c r="F58">
        <v>1500</v>
      </c>
      <c r="G58">
        <v>16500</v>
      </c>
      <c r="H58">
        <v>30000</v>
      </c>
      <c r="I58">
        <v>15000</v>
      </c>
    </row>
    <row r="59" spans="1:9">
      <c r="A59" t="s">
        <v>48</v>
      </c>
      <c r="B59" t="s">
        <v>25</v>
      </c>
      <c r="C59" t="s">
        <v>11</v>
      </c>
      <c r="D59" t="s">
        <v>26</v>
      </c>
      <c r="E59">
        <v>43</v>
      </c>
      <c r="F59">
        <v>12000</v>
      </c>
      <c r="G59">
        <v>350880</v>
      </c>
      <c r="H59">
        <v>516000</v>
      </c>
      <c r="I59">
        <v>177120</v>
      </c>
    </row>
    <row r="60" spans="1:9">
      <c r="A60" t="s">
        <v>149</v>
      </c>
      <c r="B60" t="s">
        <v>17</v>
      </c>
      <c r="C60" t="s">
        <v>11</v>
      </c>
      <c r="D60" t="s">
        <v>12</v>
      </c>
      <c r="E60">
        <v>44</v>
      </c>
      <c r="F60">
        <v>800</v>
      </c>
      <c r="G60">
        <v>17600</v>
      </c>
      <c r="H60">
        <v>35200</v>
      </c>
      <c r="I60">
        <v>18400</v>
      </c>
    </row>
    <row r="61" spans="1:9">
      <c r="A61" t="s">
        <v>224</v>
      </c>
      <c r="B61" t="s">
        <v>25</v>
      </c>
      <c r="C61" t="s">
        <v>11</v>
      </c>
      <c r="D61" t="s">
        <v>12</v>
      </c>
      <c r="E61">
        <v>29</v>
      </c>
      <c r="F61">
        <v>800</v>
      </c>
      <c r="G61">
        <v>11600</v>
      </c>
      <c r="H61">
        <v>23200</v>
      </c>
      <c r="I61">
        <v>12400</v>
      </c>
    </row>
    <row r="62" spans="1:9">
      <c r="A62" t="s">
        <v>222</v>
      </c>
      <c r="B62" t="s">
        <v>25</v>
      </c>
      <c r="C62" t="s">
        <v>11</v>
      </c>
      <c r="D62" t="s">
        <v>15</v>
      </c>
      <c r="E62">
        <v>14</v>
      </c>
      <c r="F62">
        <v>3500</v>
      </c>
      <c r="G62">
        <v>29400</v>
      </c>
      <c r="H62">
        <v>49000</v>
      </c>
      <c r="I62">
        <v>23100</v>
      </c>
    </row>
    <row r="63" spans="1:9">
      <c r="A63" t="s">
        <v>221</v>
      </c>
      <c r="B63" t="s">
        <v>30</v>
      </c>
      <c r="C63" t="s">
        <v>11</v>
      </c>
      <c r="D63" t="s">
        <v>51</v>
      </c>
      <c r="E63">
        <v>18</v>
      </c>
      <c r="F63">
        <v>15000</v>
      </c>
      <c r="G63">
        <v>175500</v>
      </c>
      <c r="H63">
        <v>270000</v>
      </c>
      <c r="I63">
        <v>109500</v>
      </c>
    </row>
    <row r="64" spans="1:9">
      <c r="A64" t="s">
        <v>220</v>
      </c>
      <c r="B64" t="s">
        <v>17</v>
      </c>
      <c r="C64" t="s">
        <v>11</v>
      </c>
      <c r="D64" t="s">
        <v>40</v>
      </c>
      <c r="E64">
        <v>43</v>
      </c>
      <c r="F64">
        <v>6000</v>
      </c>
      <c r="G64">
        <v>159960</v>
      </c>
      <c r="H64">
        <v>258000</v>
      </c>
      <c r="I64">
        <v>104040</v>
      </c>
    </row>
    <row r="65" spans="1:9">
      <c r="A65" t="s">
        <v>87</v>
      </c>
      <c r="B65" t="s">
        <v>33</v>
      </c>
      <c r="C65" t="s">
        <v>11</v>
      </c>
      <c r="D65" t="s">
        <v>60</v>
      </c>
      <c r="E65">
        <v>24</v>
      </c>
      <c r="F65">
        <v>1500</v>
      </c>
      <c r="G65">
        <v>19800</v>
      </c>
      <c r="H65">
        <v>36000</v>
      </c>
      <c r="I65">
        <v>17700</v>
      </c>
    </row>
    <row r="66" spans="1:9">
      <c r="A66" t="s">
        <v>219</v>
      </c>
      <c r="B66" t="s">
        <v>33</v>
      </c>
      <c r="C66" t="s">
        <v>11</v>
      </c>
      <c r="D66" t="s">
        <v>12</v>
      </c>
      <c r="E66">
        <v>37</v>
      </c>
      <c r="F66">
        <v>800</v>
      </c>
      <c r="G66">
        <v>14800</v>
      </c>
      <c r="H66">
        <v>29600</v>
      </c>
      <c r="I66">
        <v>15600</v>
      </c>
    </row>
    <row r="67" spans="1:9">
      <c r="A67" t="s">
        <v>218</v>
      </c>
      <c r="B67" t="s">
        <v>33</v>
      </c>
      <c r="C67" t="s">
        <v>11</v>
      </c>
      <c r="D67" t="s">
        <v>40</v>
      </c>
      <c r="E67">
        <v>33</v>
      </c>
      <c r="F67">
        <v>6000</v>
      </c>
      <c r="G67">
        <v>122760</v>
      </c>
      <c r="H67">
        <v>198000</v>
      </c>
      <c r="I67">
        <v>81240</v>
      </c>
    </row>
    <row r="68" spans="1:9">
      <c r="A68" t="s">
        <v>90</v>
      </c>
      <c r="B68" t="s">
        <v>10</v>
      </c>
      <c r="C68" t="s">
        <v>11</v>
      </c>
      <c r="D68" t="s">
        <v>15</v>
      </c>
      <c r="E68">
        <v>10</v>
      </c>
      <c r="F68">
        <v>3500</v>
      </c>
      <c r="G68">
        <v>21000</v>
      </c>
      <c r="H68">
        <v>35000</v>
      </c>
      <c r="I68">
        <v>17500</v>
      </c>
    </row>
    <row r="69" spans="1:9">
      <c r="A69" t="s">
        <v>109</v>
      </c>
      <c r="B69" t="s">
        <v>17</v>
      </c>
      <c r="C69" t="s">
        <v>11</v>
      </c>
      <c r="D69" t="s">
        <v>12</v>
      </c>
      <c r="E69">
        <v>39</v>
      </c>
      <c r="F69">
        <v>800</v>
      </c>
      <c r="G69">
        <v>15600</v>
      </c>
      <c r="H69">
        <v>31200</v>
      </c>
      <c r="I69">
        <v>16400</v>
      </c>
    </row>
    <row r="70" spans="1:9">
      <c r="A70" t="s">
        <v>204</v>
      </c>
      <c r="B70" t="s">
        <v>33</v>
      </c>
      <c r="C70" t="s">
        <v>11</v>
      </c>
      <c r="D70" t="s">
        <v>26</v>
      </c>
      <c r="E70">
        <v>23</v>
      </c>
      <c r="F70">
        <v>12000</v>
      </c>
      <c r="G70">
        <v>187680</v>
      </c>
      <c r="H70">
        <v>276000</v>
      </c>
      <c r="I70">
        <v>100320</v>
      </c>
    </row>
    <row r="71" spans="1:9">
      <c r="A71" t="s">
        <v>217</v>
      </c>
      <c r="B71" t="s">
        <v>14</v>
      </c>
      <c r="C71" t="s">
        <v>11</v>
      </c>
      <c r="D71" t="s">
        <v>40</v>
      </c>
      <c r="E71">
        <v>36</v>
      </c>
      <c r="F71">
        <v>6000</v>
      </c>
      <c r="G71">
        <v>133920</v>
      </c>
      <c r="H71">
        <v>216000</v>
      </c>
      <c r="I71">
        <v>88080</v>
      </c>
    </row>
    <row r="72" spans="1:9">
      <c r="A72" t="s">
        <v>50</v>
      </c>
      <c r="B72" t="s">
        <v>10</v>
      </c>
      <c r="C72" t="s">
        <v>11</v>
      </c>
      <c r="D72" t="s">
        <v>26</v>
      </c>
      <c r="E72">
        <v>7</v>
      </c>
      <c r="F72">
        <v>12000</v>
      </c>
      <c r="G72">
        <v>57120</v>
      </c>
      <c r="H72">
        <v>84000</v>
      </c>
      <c r="I72">
        <v>38880</v>
      </c>
    </row>
    <row r="73" spans="1:9">
      <c r="A73" t="s">
        <v>94</v>
      </c>
      <c r="B73" t="s">
        <v>17</v>
      </c>
      <c r="C73" t="s">
        <v>11</v>
      </c>
      <c r="D73" t="s">
        <v>34</v>
      </c>
      <c r="E73">
        <v>5</v>
      </c>
      <c r="F73">
        <v>45000</v>
      </c>
      <c r="G73">
        <v>157500</v>
      </c>
      <c r="H73">
        <v>225000</v>
      </c>
      <c r="I73">
        <v>112500</v>
      </c>
    </row>
    <row r="74" spans="1:9">
      <c r="A74" t="s">
        <v>64</v>
      </c>
      <c r="B74" t="s">
        <v>14</v>
      </c>
      <c r="C74" t="s">
        <v>11</v>
      </c>
      <c r="D74" t="s">
        <v>27</v>
      </c>
      <c r="E74">
        <v>38</v>
      </c>
      <c r="F74">
        <v>2200</v>
      </c>
      <c r="G74">
        <v>48488</v>
      </c>
      <c r="H74">
        <v>83600</v>
      </c>
      <c r="I74">
        <v>37312</v>
      </c>
    </row>
    <row r="75" spans="1:9">
      <c r="A75" t="s">
        <v>211</v>
      </c>
      <c r="B75" t="s">
        <v>33</v>
      </c>
      <c r="C75" t="s">
        <v>11</v>
      </c>
      <c r="D75" t="s">
        <v>51</v>
      </c>
      <c r="E75">
        <v>17</v>
      </c>
      <c r="F75">
        <v>15000</v>
      </c>
      <c r="G75">
        <v>165750</v>
      </c>
      <c r="H75">
        <v>255000</v>
      </c>
      <c r="I75">
        <v>104250</v>
      </c>
    </row>
    <row r="76" spans="1:9">
      <c r="A76" t="s">
        <v>96</v>
      </c>
      <c r="B76" t="s">
        <v>33</v>
      </c>
      <c r="C76" t="s">
        <v>11</v>
      </c>
      <c r="D76" t="s">
        <v>27</v>
      </c>
      <c r="E76">
        <v>14</v>
      </c>
      <c r="F76">
        <v>2200</v>
      </c>
      <c r="G76">
        <v>17864</v>
      </c>
      <c r="H76">
        <v>30800</v>
      </c>
      <c r="I76">
        <v>15136</v>
      </c>
    </row>
    <row r="77" spans="1:9">
      <c r="A77" t="s">
        <v>97</v>
      </c>
      <c r="B77" t="s">
        <v>20</v>
      </c>
      <c r="C77" t="s">
        <v>11</v>
      </c>
      <c r="D77" t="s">
        <v>27</v>
      </c>
      <c r="E77">
        <v>50</v>
      </c>
      <c r="F77">
        <v>2200</v>
      </c>
      <c r="G77">
        <v>63800</v>
      </c>
      <c r="H77">
        <v>110000</v>
      </c>
      <c r="I77">
        <v>48400</v>
      </c>
    </row>
    <row r="78" spans="1:9">
      <c r="A78" t="s">
        <v>139</v>
      </c>
      <c r="B78" t="s">
        <v>14</v>
      </c>
      <c r="C78" t="s">
        <v>11</v>
      </c>
      <c r="D78" t="s">
        <v>27</v>
      </c>
      <c r="E78">
        <v>16</v>
      </c>
      <c r="F78">
        <v>2200</v>
      </c>
      <c r="G78">
        <v>20416</v>
      </c>
      <c r="H78">
        <v>35200</v>
      </c>
      <c r="I78">
        <v>16984</v>
      </c>
    </row>
    <row r="79" spans="1:9">
      <c r="A79" t="s">
        <v>99</v>
      </c>
      <c r="B79" t="s">
        <v>17</v>
      </c>
      <c r="C79" t="s">
        <v>11</v>
      </c>
      <c r="D79" t="s">
        <v>51</v>
      </c>
      <c r="E79">
        <v>48</v>
      </c>
      <c r="F79">
        <v>15000</v>
      </c>
      <c r="G79">
        <v>468000</v>
      </c>
      <c r="H79">
        <v>720000</v>
      </c>
      <c r="I79">
        <v>267000</v>
      </c>
    </row>
    <row r="80" spans="1:9">
      <c r="A80" t="s">
        <v>182</v>
      </c>
      <c r="B80" t="s">
        <v>20</v>
      </c>
      <c r="C80" t="s">
        <v>11</v>
      </c>
      <c r="D80" t="s">
        <v>15</v>
      </c>
      <c r="E80">
        <v>14</v>
      </c>
      <c r="F80">
        <v>3500</v>
      </c>
      <c r="G80">
        <v>29400</v>
      </c>
      <c r="H80">
        <v>49000</v>
      </c>
      <c r="I80">
        <v>23100</v>
      </c>
    </row>
    <row r="81" spans="1:9">
      <c r="A81" t="s">
        <v>45</v>
      </c>
      <c r="B81" t="s">
        <v>25</v>
      </c>
      <c r="C81" t="s">
        <v>11</v>
      </c>
      <c r="D81" t="s">
        <v>27</v>
      </c>
      <c r="E81">
        <v>16</v>
      </c>
      <c r="F81">
        <v>2200</v>
      </c>
      <c r="G81">
        <v>20416</v>
      </c>
      <c r="H81">
        <v>35200</v>
      </c>
      <c r="I81">
        <v>16984</v>
      </c>
    </row>
    <row r="82" spans="1:9">
      <c r="A82" t="s">
        <v>210</v>
      </c>
      <c r="B82" t="s">
        <v>33</v>
      </c>
      <c r="C82" t="s">
        <v>11</v>
      </c>
      <c r="D82" t="s">
        <v>26</v>
      </c>
      <c r="E82">
        <v>18</v>
      </c>
      <c r="F82">
        <v>12000</v>
      </c>
      <c r="G82">
        <v>146880</v>
      </c>
      <c r="H82">
        <v>216000</v>
      </c>
      <c r="I82">
        <v>81120</v>
      </c>
    </row>
    <row r="83" spans="1:9">
      <c r="A83" t="s">
        <v>102</v>
      </c>
      <c r="B83" t="s">
        <v>20</v>
      </c>
      <c r="C83" t="s">
        <v>11</v>
      </c>
      <c r="D83" t="s">
        <v>60</v>
      </c>
      <c r="E83">
        <v>26</v>
      </c>
      <c r="F83">
        <v>1500</v>
      </c>
      <c r="G83">
        <v>21450</v>
      </c>
      <c r="H83">
        <v>39000</v>
      </c>
      <c r="I83">
        <v>19050</v>
      </c>
    </row>
    <row r="84" spans="1:9">
      <c r="A84" t="s">
        <v>103</v>
      </c>
      <c r="B84" t="s">
        <v>30</v>
      </c>
      <c r="C84" t="s">
        <v>11</v>
      </c>
      <c r="D84" t="s">
        <v>12</v>
      </c>
      <c r="E84">
        <v>23</v>
      </c>
      <c r="F84">
        <v>800</v>
      </c>
      <c r="G84">
        <v>9200</v>
      </c>
      <c r="H84">
        <v>18400</v>
      </c>
      <c r="I84">
        <v>10000</v>
      </c>
    </row>
    <row r="85" spans="1:9">
      <c r="A85" t="s">
        <v>114</v>
      </c>
      <c r="B85" t="s">
        <v>33</v>
      </c>
      <c r="C85" t="s">
        <v>11</v>
      </c>
      <c r="D85" t="s">
        <v>27</v>
      </c>
      <c r="E85">
        <v>35</v>
      </c>
      <c r="F85">
        <v>2200</v>
      </c>
      <c r="G85">
        <v>44660</v>
      </c>
      <c r="H85">
        <v>77000</v>
      </c>
      <c r="I85">
        <v>34540</v>
      </c>
    </row>
    <row r="86" spans="1:9">
      <c r="A86" t="s">
        <v>199</v>
      </c>
      <c r="B86" t="s">
        <v>14</v>
      </c>
      <c r="C86" t="s">
        <v>11</v>
      </c>
      <c r="D86" t="s">
        <v>18</v>
      </c>
      <c r="E86">
        <v>20</v>
      </c>
      <c r="F86">
        <v>55000</v>
      </c>
      <c r="G86">
        <v>792000</v>
      </c>
      <c r="H86">
        <v>1100000</v>
      </c>
      <c r="I86">
        <v>363000</v>
      </c>
    </row>
    <row r="87" spans="1:9">
      <c r="A87" t="s">
        <v>196</v>
      </c>
      <c r="B87" t="s">
        <v>30</v>
      </c>
      <c r="C87" t="s">
        <v>11</v>
      </c>
      <c r="D87" t="s">
        <v>26</v>
      </c>
      <c r="E87">
        <v>18</v>
      </c>
      <c r="F87">
        <v>12000</v>
      </c>
      <c r="G87">
        <v>146880</v>
      </c>
      <c r="H87">
        <v>216000</v>
      </c>
      <c r="I87">
        <v>81120</v>
      </c>
    </row>
    <row r="88" spans="1:9">
      <c r="A88" t="s">
        <v>128</v>
      </c>
      <c r="B88" t="s">
        <v>14</v>
      </c>
      <c r="C88" t="s">
        <v>11</v>
      </c>
      <c r="D88" t="s">
        <v>23</v>
      </c>
      <c r="E88">
        <v>23</v>
      </c>
      <c r="F88">
        <v>25000</v>
      </c>
      <c r="G88">
        <v>402500</v>
      </c>
      <c r="H88">
        <v>575000</v>
      </c>
      <c r="I88">
        <v>197500</v>
      </c>
    </row>
    <row r="89" spans="1:9">
      <c r="A89" t="s">
        <v>188</v>
      </c>
      <c r="B89" t="s">
        <v>30</v>
      </c>
      <c r="C89" t="s">
        <v>11</v>
      </c>
      <c r="D89" t="s">
        <v>18</v>
      </c>
      <c r="E89">
        <v>21</v>
      </c>
      <c r="F89">
        <v>55000</v>
      </c>
      <c r="G89">
        <v>831600</v>
      </c>
      <c r="H89">
        <v>1155000</v>
      </c>
      <c r="I89">
        <v>378400</v>
      </c>
    </row>
    <row r="90" spans="1:9">
      <c r="A90" t="s">
        <v>50</v>
      </c>
      <c r="B90" t="s">
        <v>17</v>
      </c>
      <c r="C90" t="s">
        <v>11</v>
      </c>
      <c r="D90" t="s">
        <v>34</v>
      </c>
      <c r="E90">
        <v>29</v>
      </c>
      <c r="F90">
        <v>45000</v>
      </c>
      <c r="G90">
        <v>913500</v>
      </c>
      <c r="H90">
        <v>1305000</v>
      </c>
      <c r="I90">
        <v>436500</v>
      </c>
    </row>
    <row r="91" spans="1:9">
      <c r="A91" t="s">
        <v>185</v>
      </c>
      <c r="B91" t="s">
        <v>17</v>
      </c>
      <c r="C91" t="s">
        <v>11</v>
      </c>
      <c r="D91" t="s">
        <v>27</v>
      </c>
      <c r="E91">
        <v>44</v>
      </c>
      <c r="F91">
        <v>2200</v>
      </c>
      <c r="G91">
        <v>56144</v>
      </c>
      <c r="H91">
        <v>96800</v>
      </c>
      <c r="I91">
        <v>42856</v>
      </c>
    </row>
    <row r="92" spans="1:9">
      <c r="A92" t="s">
        <v>184</v>
      </c>
      <c r="B92" t="s">
        <v>14</v>
      </c>
      <c r="C92" t="s">
        <v>11</v>
      </c>
      <c r="D92" t="s">
        <v>23</v>
      </c>
      <c r="E92">
        <v>17</v>
      </c>
      <c r="F92">
        <v>25000</v>
      </c>
      <c r="G92">
        <v>297500</v>
      </c>
      <c r="H92">
        <v>425000</v>
      </c>
      <c r="I92">
        <v>152500</v>
      </c>
    </row>
    <row r="93" spans="1:9">
      <c r="A93" t="s">
        <v>183</v>
      </c>
      <c r="B93" t="s">
        <v>47</v>
      </c>
      <c r="C93" t="s">
        <v>11</v>
      </c>
      <c r="D93" t="s">
        <v>51</v>
      </c>
      <c r="E93">
        <v>27</v>
      </c>
      <c r="F93">
        <v>15000</v>
      </c>
      <c r="G93">
        <v>263250</v>
      </c>
      <c r="H93">
        <v>405000</v>
      </c>
      <c r="I93">
        <v>156750</v>
      </c>
    </row>
    <row r="94" spans="1:9">
      <c r="A94" t="s">
        <v>182</v>
      </c>
      <c r="B94" t="s">
        <v>33</v>
      </c>
      <c r="C94" t="s">
        <v>11</v>
      </c>
      <c r="D94" t="s">
        <v>23</v>
      </c>
      <c r="E94">
        <v>7</v>
      </c>
      <c r="F94">
        <v>25000</v>
      </c>
      <c r="G94">
        <v>122500</v>
      </c>
      <c r="H94">
        <v>175000</v>
      </c>
      <c r="I94">
        <v>77500</v>
      </c>
    </row>
    <row r="95" spans="1:9">
      <c r="A95" t="s">
        <v>89</v>
      </c>
      <c r="B95" t="s">
        <v>17</v>
      </c>
      <c r="C95" t="s">
        <v>11</v>
      </c>
      <c r="D95" t="s">
        <v>12</v>
      </c>
      <c r="E95">
        <v>19</v>
      </c>
      <c r="F95">
        <v>800</v>
      </c>
      <c r="G95">
        <v>7600</v>
      </c>
      <c r="H95">
        <v>15200</v>
      </c>
      <c r="I95">
        <v>8400</v>
      </c>
    </row>
    <row r="96" spans="1:9">
      <c r="A96" t="s">
        <v>178</v>
      </c>
      <c r="B96" t="s">
        <v>14</v>
      </c>
      <c r="C96" t="s">
        <v>11</v>
      </c>
      <c r="D96" t="s">
        <v>12</v>
      </c>
      <c r="E96">
        <v>50</v>
      </c>
      <c r="F96">
        <v>800</v>
      </c>
      <c r="G96">
        <v>20000</v>
      </c>
      <c r="H96">
        <v>40000</v>
      </c>
      <c r="I96">
        <v>20800</v>
      </c>
    </row>
    <row r="97" spans="1:9">
      <c r="A97" t="s">
        <v>153</v>
      </c>
      <c r="B97" t="s">
        <v>17</v>
      </c>
      <c r="C97" t="s">
        <v>11</v>
      </c>
      <c r="D97" t="s">
        <v>60</v>
      </c>
      <c r="E97">
        <v>8</v>
      </c>
      <c r="F97">
        <v>1500</v>
      </c>
      <c r="G97">
        <v>6600</v>
      </c>
      <c r="H97">
        <v>12000</v>
      </c>
      <c r="I97">
        <v>6900</v>
      </c>
    </row>
    <row r="98" spans="1:9">
      <c r="A98" t="s">
        <v>172</v>
      </c>
      <c r="B98" t="s">
        <v>33</v>
      </c>
      <c r="C98" t="s">
        <v>11</v>
      </c>
      <c r="D98" t="s">
        <v>26</v>
      </c>
      <c r="E98">
        <v>33</v>
      </c>
      <c r="F98">
        <v>12000</v>
      </c>
      <c r="G98">
        <v>269280</v>
      </c>
      <c r="H98">
        <v>396000</v>
      </c>
      <c r="I98">
        <v>138720</v>
      </c>
    </row>
    <row r="99" spans="1:9">
      <c r="A99" t="s">
        <v>129</v>
      </c>
      <c r="B99" t="s">
        <v>47</v>
      </c>
      <c r="C99" t="s">
        <v>11</v>
      </c>
      <c r="D99" t="s">
        <v>23</v>
      </c>
      <c r="E99">
        <v>23</v>
      </c>
      <c r="F99">
        <v>25000</v>
      </c>
      <c r="G99">
        <v>402500</v>
      </c>
      <c r="H99">
        <v>575000</v>
      </c>
      <c r="I99">
        <v>197500</v>
      </c>
    </row>
    <row r="100" spans="1:9">
      <c r="A100" t="s">
        <v>66</v>
      </c>
      <c r="B100" t="s">
        <v>30</v>
      </c>
      <c r="C100" t="s">
        <v>11</v>
      </c>
      <c r="D100" t="s">
        <v>51</v>
      </c>
      <c r="E100">
        <v>31</v>
      </c>
      <c r="F100">
        <v>15000</v>
      </c>
      <c r="G100">
        <v>302250</v>
      </c>
      <c r="H100">
        <v>465000</v>
      </c>
      <c r="I100">
        <v>177750</v>
      </c>
    </row>
    <row r="101" spans="1:9">
      <c r="A101" t="s">
        <v>142</v>
      </c>
      <c r="B101" t="s">
        <v>14</v>
      </c>
      <c r="C101" t="s">
        <v>11</v>
      </c>
      <c r="D101" t="s">
        <v>12</v>
      </c>
      <c r="E101">
        <v>31</v>
      </c>
      <c r="F101">
        <v>800</v>
      </c>
      <c r="G101">
        <v>12400</v>
      </c>
      <c r="H101">
        <v>24800</v>
      </c>
      <c r="I101">
        <v>13200</v>
      </c>
    </row>
    <row r="102" spans="1:9">
      <c r="A102" t="s">
        <v>141</v>
      </c>
      <c r="B102" t="s">
        <v>33</v>
      </c>
      <c r="C102" t="s">
        <v>11</v>
      </c>
      <c r="D102" t="s">
        <v>15</v>
      </c>
      <c r="E102">
        <v>42</v>
      </c>
      <c r="F102">
        <v>3500</v>
      </c>
      <c r="G102">
        <v>88200</v>
      </c>
      <c r="H102">
        <v>147000</v>
      </c>
      <c r="I102">
        <v>62300</v>
      </c>
    </row>
    <row r="103" spans="1:9">
      <c r="A103" t="s">
        <v>116</v>
      </c>
      <c r="B103" t="s">
        <v>25</v>
      </c>
      <c r="C103" t="s">
        <v>11</v>
      </c>
      <c r="D103" t="s">
        <v>26</v>
      </c>
      <c r="E103">
        <v>15</v>
      </c>
      <c r="F103">
        <v>12000</v>
      </c>
      <c r="G103">
        <v>122400</v>
      </c>
      <c r="H103">
        <v>180000</v>
      </c>
      <c r="I103">
        <v>69600</v>
      </c>
    </row>
    <row r="104" spans="1:9">
      <c r="A104" t="s">
        <v>99</v>
      </c>
      <c r="B104" t="s">
        <v>47</v>
      </c>
      <c r="C104" t="s">
        <v>11</v>
      </c>
      <c r="D104" t="s">
        <v>15</v>
      </c>
      <c r="E104">
        <v>16</v>
      </c>
      <c r="F104">
        <v>3500</v>
      </c>
      <c r="G104">
        <v>33600</v>
      </c>
      <c r="H104">
        <v>56000</v>
      </c>
      <c r="I104">
        <v>25900</v>
      </c>
    </row>
    <row r="105" spans="1:9">
      <c r="A105" t="s">
        <v>89</v>
      </c>
      <c r="B105" t="s">
        <v>10</v>
      </c>
      <c r="C105" t="s">
        <v>11</v>
      </c>
      <c r="D105" t="s">
        <v>27</v>
      </c>
      <c r="E105">
        <v>35</v>
      </c>
      <c r="F105">
        <v>2200</v>
      </c>
      <c r="G105">
        <v>44660</v>
      </c>
      <c r="H105">
        <v>77000</v>
      </c>
      <c r="I105">
        <v>34540</v>
      </c>
    </row>
    <row r="106" spans="1:9">
      <c r="A106" t="s">
        <v>21</v>
      </c>
      <c r="B106" t="s">
        <v>10</v>
      </c>
      <c r="C106" t="s">
        <v>11</v>
      </c>
      <c r="D106" t="s">
        <v>18</v>
      </c>
      <c r="E106">
        <v>16</v>
      </c>
      <c r="F106">
        <v>55000</v>
      </c>
      <c r="G106">
        <v>633600</v>
      </c>
      <c r="H106">
        <v>880000</v>
      </c>
      <c r="I106">
        <v>301400</v>
      </c>
    </row>
    <row r="107" spans="1:9">
      <c r="A107" t="s">
        <v>135</v>
      </c>
      <c r="B107" t="s">
        <v>25</v>
      </c>
      <c r="C107" t="s">
        <v>11</v>
      </c>
      <c r="D107" t="s">
        <v>27</v>
      </c>
      <c r="E107">
        <v>15</v>
      </c>
      <c r="F107">
        <v>2200</v>
      </c>
      <c r="G107">
        <v>19140</v>
      </c>
      <c r="H107">
        <v>33000</v>
      </c>
      <c r="I107">
        <v>16060</v>
      </c>
    </row>
    <row r="108" spans="1:9">
      <c r="A108" t="s">
        <v>133</v>
      </c>
      <c r="B108" t="s">
        <v>14</v>
      </c>
      <c r="C108" t="s">
        <v>11</v>
      </c>
      <c r="D108" t="s">
        <v>12</v>
      </c>
      <c r="E108">
        <v>25</v>
      </c>
      <c r="F108">
        <v>800</v>
      </c>
      <c r="G108">
        <v>10000</v>
      </c>
      <c r="H108">
        <v>20000</v>
      </c>
      <c r="I108">
        <v>10800</v>
      </c>
    </row>
    <row r="109" spans="1:9">
      <c r="A109" t="s">
        <v>132</v>
      </c>
      <c r="B109" t="s">
        <v>25</v>
      </c>
      <c r="C109" t="s">
        <v>11</v>
      </c>
      <c r="D109" t="s">
        <v>26</v>
      </c>
      <c r="E109">
        <v>9</v>
      </c>
      <c r="F109">
        <v>12000</v>
      </c>
      <c r="G109">
        <v>73440</v>
      </c>
      <c r="H109">
        <v>108000</v>
      </c>
      <c r="I109">
        <v>46560</v>
      </c>
    </row>
    <row r="110" spans="1:9">
      <c r="A110" t="s">
        <v>129</v>
      </c>
      <c r="B110" t="s">
        <v>47</v>
      </c>
      <c r="C110" t="s">
        <v>11</v>
      </c>
      <c r="D110" t="s">
        <v>26</v>
      </c>
      <c r="E110">
        <v>22</v>
      </c>
      <c r="F110">
        <v>12000</v>
      </c>
      <c r="G110">
        <v>179520</v>
      </c>
      <c r="H110">
        <v>264000</v>
      </c>
      <c r="I110">
        <v>96480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B9FF0-A21B-4B82-A63C-EAE7A079CC95}">
  <dimension ref="A3:H22"/>
  <sheetViews>
    <sheetView tabSelected="1" topLeftCell="B8" workbookViewId="0">
      <selection activeCell="I1" sqref="I1:K1"/>
    </sheetView>
  </sheetViews>
  <sheetFormatPr defaultRowHeight="14.5"/>
  <cols>
    <col min="1" max="1" width="12.453125" bestFit="1" customWidth="1"/>
    <col min="2" max="2" width="16.08984375" bestFit="1" customWidth="1"/>
    <col min="4" max="4" width="12.453125" bestFit="1" customWidth="1"/>
    <col min="5" max="5" width="16.08984375" bestFit="1" customWidth="1"/>
    <col min="7" max="7" width="12.453125" bestFit="1" customWidth="1"/>
    <col min="8" max="8" width="16.08984375" bestFit="1" customWidth="1"/>
  </cols>
  <sheetData>
    <row r="3" spans="1:8">
      <c r="A3" s="5" t="s">
        <v>309</v>
      </c>
      <c r="B3" t="s">
        <v>310</v>
      </c>
      <c r="D3" s="5" t="s">
        <v>309</v>
      </c>
      <c r="E3" t="s">
        <v>310</v>
      </c>
      <c r="G3" s="5" t="s">
        <v>309</v>
      </c>
      <c r="H3" t="s">
        <v>310</v>
      </c>
    </row>
    <row r="4" spans="1:8">
      <c r="A4" s="6" t="s">
        <v>25</v>
      </c>
      <c r="B4" s="8">
        <v>18500000</v>
      </c>
      <c r="D4" s="6" t="s">
        <v>34</v>
      </c>
      <c r="E4" s="8">
        <v>66285000</v>
      </c>
      <c r="G4" s="6" t="s">
        <v>36</v>
      </c>
      <c r="H4" s="8">
        <v>57297000</v>
      </c>
    </row>
    <row r="5" spans="1:8">
      <c r="A5" s="6" t="s">
        <v>20</v>
      </c>
      <c r="B5" s="8">
        <v>24597300</v>
      </c>
      <c r="D5" s="6" t="s">
        <v>27</v>
      </c>
      <c r="E5" s="8">
        <v>3172400</v>
      </c>
      <c r="G5" s="6" t="s">
        <v>11</v>
      </c>
      <c r="H5" s="8">
        <v>27577300</v>
      </c>
    </row>
    <row r="6" spans="1:8">
      <c r="A6" s="6" t="s">
        <v>14</v>
      </c>
      <c r="B6" s="8">
        <v>28791000</v>
      </c>
      <c r="D6" s="6" t="s">
        <v>60</v>
      </c>
      <c r="E6" s="8">
        <v>1500000</v>
      </c>
      <c r="G6" s="6" t="s">
        <v>22</v>
      </c>
      <c r="H6" s="8">
        <v>67308300</v>
      </c>
    </row>
    <row r="7" spans="1:8">
      <c r="A7" s="6" t="s">
        <v>47</v>
      </c>
      <c r="B7" s="8">
        <v>24446500</v>
      </c>
      <c r="D7" s="6" t="s">
        <v>18</v>
      </c>
      <c r="E7" s="8">
        <v>56980000</v>
      </c>
      <c r="G7" s="6" t="s">
        <v>44</v>
      </c>
      <c r="H7" s="8">
        <v>55943100</v>
      </c>
    </row>
    <row r="8" spans="1:8">
      <c r="A8" s="6" t="s">
        <v>10</v>
      </c>
      <c r="B8" s="8">
        <v>29011500</v>
      </c>
      <c r="D8" s="6" t="s">
        <v>51</v>
      </c>
      <c r="E8" s="8">
        <v>15705000</v>
      </c>
      <c r="G8" s="6" t="s">
        <v>306</v>
      </c>
      <c r="H8" s="8">
        <v>208125700</v>
      </c>
    </row>
    <row r="9" spans="1:8">
      <c r="A9" s="6" t="s">
        <v>30</v>
      </c>
      <c r="B9" s="8">
        <v>25721700</v>
      </c>
      <c r="D9" s="6" t="s">
        <v>12</v>
      </c>
      <c r="E9" s="8">
        <v>1380800</v>
      </c>
    </row>
    <row r="10" spans="1:8">
      <c r="A10" s="6" t="s">
        <v>33</v>
      </c>
      <c r="B10" s="8">
        <v>28158900</v>
      </c>
      <c r="D10" s="6" t="s">
        <v>26</v>
      </c>
      <c r="E10" s="8">
        <v>12108000</v>
      </c>
    </row>
    <row r="11" spans="1:8">
      <c r="A11" s="6" t="s">
        <v>17</v>
      </c>
      <c r="B11" s="8">
        <v>28898800</v>
      </c>
      <c r="D11" s="6" t="s">
        <v>40</v>
      </c>
      <c r="E11" s="8">
        <v>8634000</v>
      </c>
      <c r="G11" s="5" t="s">
        <v>309</v>
      </c>
      <c r="H11" t="s">
        <v>311</v>
      </c>
    </row>
    <row r="12" spans="1:8">
      <c r="A12" s="6" t="s">
        <v>306</v>
      </c>
      <c r="B12" s="8">
        <v>208125700</v>
      </c>
      <c r="D12" s="6" t="s">
        <v>23</v>
      </c>
      <c r="E12" s="8">
        <v>38500000</v>
      </c>
      <c r="G12" s="6" t="s">
        <v>34</v>
      </c>
      <c r="H12" s="7">
        <v>1473</v>
      </c>
    </row>
    <row r="13" spans="1:8">
      <c r="D13" s="6" t="s">
        <v>15</v>
      </c>
      <c r="E13" s="8">
        <v>3860500</v>
      </c>
      <c r="G13" s="6" t="s">
        <v>27</v>
      </c>
      <c r="H13" s="7">
        <v>1442</v>
      </c>
    </row>
    <row r="14" spans="1:8">
      <c r="D14" s="6" t="s">
        <v>306</v>
      </c>
      <c r="E14" s="8">
        <v>208125700</v>
      </c>
      <c r="G14" s="6" t="s">
        <v>60</v>
      </c>
      <c r="H14" s="7">
        <v>1000</v>
      </c>
    </row>
    <row r="15" spans="1:8">
      <c r="G15" s="6" t="s">
        <v>18</v>
      </c>
      <c r="H15" s="7">
        <v>1036</v>
      </c>
    </row>
    <row r="16" spans="1:8">
      <c r="G16" s="6" t="s">
        <v>51</v>
      </c>
      <c r="H16" s="7">
        <v>1047</v>
      </c>
    </row>
    <row r="17" spans="7:8">
      <c r="G17" s="6" t="s">
        <v>12</v>
      </c>
      <c r="H17" s="7">
        <v>1726</v>
      </c>
    </row>
    <row r="18" spans="7:8">
      <c r="G18" s="6" t="s">
        <v>26</v>
      </c>
      <c r="H18" s="7">
        <v>1009</v>
      </c>
    </row>
    <row r="19" spans="7:8">
      <c r="G19" s="6" t="s">
        <v>40</v>
      </c>
      <c r="H19" s="7">
        <v>1439</v>
      </c>
    </row>
    <row r="20" spans="7:8">
      <c r="G20" s="6" t="s">
        <v>23</v>
      </c>
      <c r="H20" s="7">
        <v>1540</v>
      </c>
    </row>
    <row r="21" spans="7:8">
      <c r="G21" s="6" t="s">
        <v>15</v>
      </c>
      <c r="H21" s="7">
        <v>1103</v>
      </c>
    </row>
    <row r="22" spans="7:8">
      <c r="G22" s="6" t="s">
        <v>306</v>
      </c>
      <c r="H22" s="7">
        <v>12815</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34459-D436-4A0E-9F12-0F18559281DD}">
  <dimension ref="A1:K501"/>
  <sheetViews>
    <sheetView workbookViewId="0">
      <selection activeCell="K9" sqref="K9"/>
    </sheetView>
  </sheetViews>
  <sheetFormatPr defaultRowHeight="14.5"/>
  <cols>
    <col min="1" max="1" width="10.08984375" bestFit="1" customWidth="1"/>
    <col min="2" max="2" width="15.81640625" bestFit="1" customWidth="1"/>
    <col min="4" max="4" width="12" bestFit="1" customWidth="1"/>
    <col min="5" max="5" width="12.26953125" bestFit="1" customWidth="1"/>
    <col min="6" max="6" width="12.81640625" bestFit="1" customWidth="1"/>
    <col min="7" max="7" width="16.81640625" bestFit="1" customWidth="1"/>
    <col min="8" max="8" width="14.26953125" bestFit="1" customWidth="1"/>
    <col min="9" max="9" width="10.08984375" bestFit="1" customWidth="1"/>
    <col min="11" max="11" width="11.453125" bestFit="1" customWidth="1"/>
  </cols>
  <sheetData>
    <row r="1" spans="1:11">
      <c r="A1" s="1" t="s">
        <v>0</v>
      </c>
      <c r="B1" s="1" t="s">
        <v>1</v>
      </c>
      <c r="C1" s="1" t="s">
        <v>2</v>
      </c>
      <c r="D1" s="1" t="s">
        <v>3</v>
      </c>
      <c r="E1" s="1" t="s">
        <v>4</v>
      </c>
      <c r="F1" s="1" t="s">
        <v>5</v>
      </c>
      <c r="G1" s="1" t="s">
        <v>6</v>
      </c>
      <c r="H1" s="1" t="s">
        <v>7</v>
      </c>
      <c r="I1" s="2" t="s">
        <v>8</v>
      </c>
    </row>
    <row r="2" spans="1:11">
      <c r="A2" s="3" t="s">
        <v>9</v>
      </c>
      <c r="B2" s="3" t="s">
        <v>10</v>
      </c>
      <c r="C2" s="3" t="s">
        <v>11</v>
      </c>
      <c r="D2" s="3" t="s">
        <v>12</v>
      </c>
      <c r="E2" s="3">
        <v>16</v>
      </c>
      <c r="F2" s="3">
        <v>800</v>
      </c>
      <c r="G2" s="3">
        <v>6400</v>
      </c>
      <c r="H2" s="3">
        <v>12800</v>
      </c>
      <c r="I2" s="3">
        <f>H2-(G2-F2)</f>
        <v>7200</v>
      </c>
      <c r="K2" t="s">
        <v>306</v>
      </c>
    </row>
    <row r="3" spans="1:11">
      <c r="A3" s="3" t="s">
        <v>13</v>
      </c>
      <c r="B3" s="3" t="s">
        <v>14</v>
      </c>
      <c r="C3" s="3" t="s">
        <v>11</v>
      </c>
      <c r="D3" s="3" t="s">
        <v>15</v>
      </c>
      <c r="E3" s="3">
        <v>6</v>
      </c>
      <c r="F3" s="3">
        <v>3500</v>
      </c>
      <c r="G3" s="3">
        <v>12600</v>
      </c>
      <c r="H3" s="3">
        <v>21000</v>
      </c>
      <c r="I3" s="3">
        <f t="shared" ref="I3:I66" si="0">H3-(G3-F3)</f>
        <v>11900</v>
      </c>
      <c r="K3" s="4">
        <f>SUM(H:H)</f>
        <v>208125700</v>
      </c>
    </row>
    <row r="4" spans="1:11">
      <c r="A4" s="3" t="s">
        <v>16</v>
      </c>
      <c r="B4" s="3" t="s">
        <v>17</v>
      </c>
      <c r="C4" s="3" t="s">
        <v>11</v>
      </c>
      <c r="D4" s="3" t="s">
        <v>18</v>
      </c>
      <c r="E4" s="3">
        <v>6</v>
      </c>
      <c r="F4" s="3">
        <v>55000</v>
      </c>
      <c r="G4" s="3">
        <v>237600</v>
      </c>
      <c r="H4" s="3">
        <v>330000</v>
      </c>
      <c r="I4" s="3">
        <f t="shared" si="0"/>
        <v>147400</v>
      </c>
    </row>
    <row r="5" spans="1:11">
      <c r="A5" s="3" t="s">
        <v>19</v>
      </c>
      <c r="B5" s="3" t="s">
        <v>20</v>
      </c>
      <c r="C5" s="3" t="s">
        <v>11</v>
      </c>
      <c r="D5" s="3" t="s">
        <v>15</v>
      </c>
      <c r="E5" s="3">
        <v>13</v>
      </c>
      <c r="F5" s="3">
        <v>3500</v>
      </c>
      <c r="G5" s="3">
        <v>27300</v>
      </c>
      <c r="H5" s="3">
        <v>45500</v>
      </c>
      <c r="I5" s="3">
        <f t="shared" si="0"/>
        <v>21700</v>
      </c>
      <c r="K5" t="s">
        <v>307</v>
      </c>
    </row>
    <row r="6" spans="1:11">
      <c r="A6" s="3" t="s">
        <v>21</v>
      </c>
      <c r="B6" s="3" t="s">
        <v>17</v>
      </c>
      <c r="C6" s="3" t="s">
        <v>22</v>
      </c>
      <c r="D6" s="3" t="s">
        <v>23</v>
      </c>
      <c r="E6" s="3">
        <v>38</v>
      </c>
      <c r="F6" s="3">
        <v>25000</v>
      </c>
      <c r="G6" s="3">
        <v>665000</v>
      </c>
      <c r="H6" s="3">
        <v>950000</v>
      </c>
      <c r="I6" s="3">
        <f t="shared" si="0"/>
        <v>310000</v>
      </c>
      <c r="K6" s="4">
        <f>SUM(E:E)</f>
        <v>12815</v>
      </c>
    </row>
    <row r="7" spans="1:11">
      <c r="A7" s="3" t="s">
        <v>24</v>
      </c>
      <c r="B7" s="3" t="s">
        <v>25</v>
      </c>
      <c r="C7" s="3" t="s">
        <v>22</v>
      </c>
      <c r="D7" s="3" t="s">
        <v>26</v>
      </c>
      <c r="E7" s="3">
        <v>22</v>
      </c>
      <c r="F7" s="3">
        <v>12000</v>
      </c>
      <c r="G7" s="3">
        <v>179520</v>
      </c>
      <c r="H7" s="3">
        <v>264000</v>
      </c>
      <c r="I7" s="3">
        <f t="shared" si="0"/>
        <v>96480</v>
      </c>
    </row>
    <row r="8" spans="1:11">
      <c r="A8" s="3" t="s">
        <v>24</v>
      </c>
      <c r="B8" s="3" t="s">
        <v>14</v>
      </c>
      <c r="C8" s="3" t="s">
        <v>22</v>
      </c>
      <c r="D8" s="3" t="s">
        <v>27</v>
      </c>
      <c r="E8" s="3">
        <v>7</v>
      </c>
      <c r="F8" s="3">
        <v>2200</v>
      </c>
      <c r="G8" s="3">
        <v>8932</v>
      </c>
      <c r="H8" s="3">
        <v>15400</v>
      </c>
      <c r="I8" s="3">
        <f t="shared" si="0"/>
        <v>8668</v>
      </c>
      <c r="K8" t="s">
        <v>308</v>
      </c>
    </row>
    <row r="9" spans="1:11">
      <c r="A9" s="3" t="s">
        <v>28</v>
      </c>
      <c r="B9" s="3" t="s">
        <v>17</v>
      </c>
      <c r="C9" s="3" t="s">
        <v>11</v>
      </c>
      <c r="D9" s="3" t="s">
        <v>27</v>
      </c>
      <c r="E9" s="3">
        <v>23</v>
      </c>
      <c r="F9" s="3">
        <v>2200</v>
      </c>
      <c r="G9" s="3">
        <v>29348</v>
      </c>
      <c r="H9" s="3">
        <v>50600</v>
      </c>
      <c r="I9" s="3">
        <f t="shared" si="0"/>
        <v>23452</v>
      </c>
      <c r="K9" s="4">
        <f>AVERAGE(H:H)</f>
        <v>416251.4</v>
      </c>
    </row>
    <row r="10" spans="1:11">
      <c r="A10" s="3" t="s">
        <v>29</v>
      </c>
      <c r="B10" s="3" t="s">
        <v>30</v>
      </c>
      <c r="C10" s="3" t="s">
        <v>11</v>
      </c>
      <c r="D10" s="3" t="s">
        <v>23</v>
      </c>
      <c r="E10" s="3">
        <v>35</v>
      </c>
      <c r="F10" s="3">
        <v>25000</v>
      </c>
      <c r="G10" s="3">
        <v>612500</v>
      </c>
      <c r="H10" s="3">
        <v>875000</v>
      </c>
      <c r="I10" s="3">
        <f t="shared" si="0"/>
        <v>287500</v>
      </c>
    </row>
    <row r="11" spans="1:11">
      <c r="A11" s="3" t="s">
        <v>31</v>
      </c>
      <c r="B11" s="3" t="s">
        <v>17</v>
      </c>
      <c r="C11" s="3" t="s">
        <v>11</v>
      </c>
      <c r="D11" s="3" t="s">
        <v>15</v>
      </c>
      <c r="E11" s="3">
        <v>19</v>
      </c>
      <c r="F11" s="3">
        <v>3500</v>
      </c>
      <c r="G11" s="3">
        <v>39900</v>
      </c>
      <c r="H11" s="3">
        <v>66500</v>
      </c>
      <c r="I11" s="3">
        <f t="shared" si="0"/>
        <v>30100</v>
      </c>
      <c r="K11" t="s">
        <v>8</v>
      </c>
    </row>
    <row r="12" spans="1:11">
      <c r="A12" s="3" t="s">
        <v>32</v>
      </c>
      <c r="B12" s="3" t="s">
        <v>33</v>
      </c>
      <c r="C12" s="3" t="s">
        <v>22</v>
      </c>
      <c r="D12" s="3" t="s">
        <v>34</v>
      </c>
      <c r="E12" s="3">
        <v>3</v>
      </c>
      <c r="F12" s="3">
        <v>45000</v>
      </c>
      <c r="G12" s="3">
        <v>94500</v>
      </c>
      <c r="H12" s="3">
        <v>135000</v>
      </c>
      <c r="I12" s="3">
        <f t="shared" si="0"/>
        <v>85500</v>
      </c>
      <c r="K12" s="4">
        <f>SUM(I:I)</f>
        <v>72746038</v>
      </c>
    </row>
    <row r="13" spans="1:11">
      <c r="A13" s="3" t="s">
        <v>35</v>
      </c>
      <c r="B13" s="3" t="s">
        <v>20</v>
      </c>
      <c r="C13" s="3" t="s">
        <v>36</v>
      </c>
      <c r="D13" s="3" t="s">
        <v>34</v>
      </c>
      <c r="E13" s="3">
        <v>15</v>
      </c>
      <c r="F13" s="3">
        <v>45000</v>
      </c>
      <c r="G13" s="3">
        <v>472500</v>
      </c>
      <c r="H13" s="3">
        <v>675000</v>
      </c>
      <c r="I13" s="3">
        <f t="shared" si="0"/>
        <v>247500</v>
      </c>
    </row>
    <row r="14" spans="1:11">
      <c r="A14" s="3" t="s">
        <v>37</v>
      </c>
      <c r="B14" s="3" t="s">
        <v>17</v>
      </c>
      <c r="C14" s="3" t="s">
        <v>36</v>
      </c>
      <c r="D14" s="3" t="s">
        <v>23</v>
      </c>
      <c r="E14" s="3">
        <v>41</v>
      </c>
      <c r="F14" s="3">
        <v>25000</v>
      </c>
      <c r="G14" s="3">
        <v>717500</v>
      </c>
      <c r="H14" s="3">
        <v>1025000</v>
      </c>
      <c r="I14" s="3">
        <f t="shared" si="0"/>
        <v>332500</v>
      </c>
    </row>
    <row r="15" spans="1:11">
      <c r="A15" s="3" t="s">
        <v>38</v>
      </c>
      <c r="B15" s="3" t="s">
        <v>14</v>
      </c>
      <c r="C15" s="3" t="s">
        <v>36</v>
      </c>
      <c r="D15" s="3" t="s">
        <v>27</v>
      </c>
      <c r="E15" s="3">
        <v>14</v>
      </c>
      <c r="F15" s="3">
        <v>2200</v>
      </c>
      <c r="G15" s="3">
        <v>17864</v>
      </c>
      <c r="H15" s="3">
        <v>30800</v>
      </c>
      <c r="I15" s="3">
        <f t="shared" si="0"/>
        <v>15136</v>
      </c>
    </row>
    <row r="16" spans="1:11">
      <c r="A16" s="3" t="s">
        <v>39</v>
      </c>
      <c r="B16" s="3" t="s">
        <v>30</v>
      </c>
      <c r="C16" s="3" t="s">
        <v>11</v>
      </c>
      <c r="D16" s="3" t="s">
        <v>40</v>
      </c>
      <c r="E16" s="3">
        <v>41</v>
      </c>
      <c r="F16" s="3">
        <v>6000</v>
      </c>
      <c r="G16" s="3">
        <v>152520</v>
      </c>
      <c r="H16" s="3">
        <v>246000</v>
      </c>
      <c r="I16" s="3">
        <f t="shared" si="0"/>
        <v>99480</v>
      </c>
    </row>
    <row r="17" spans="1:9">
      <c r="A17" s="3" t="s">
        <v>41</v>
      </c>
      <c r="B17" s="3" t="s">
        <v>20</v>
      </c>
      <c r="C17" s="3" t="s">
        <v>22</v>
      </c>
      <c r="D17" s="3" t="s">
        <v>23</v>
      </c>
      <c r="E17" s="3">
        <v>25</v>
      </c>
      <c r="F17" s="3">
        <v>25000</v>
      </c>
      <c r="G17" s="3">
        <v>437500</v>
      </c>
      <c r="H17" s="3">
        <v>625000</v>
      </c>
      <c r="I17" s="3">
        <f t="shared" si="0"/>
        <v>212500</v>
      </c>
    </row>
    <row r="18" spans="1:9">
      <c r="A18" s="3" t="s">
        <v>42</v>
      </c>
      <c r="B18" s="3" t="s">
        <v>20</v>
      </c>
      <c r="C18" s="3" t="s">
        <v>36</v>
      </c>
      <c r="D18" s="3" t="s">
        <v>18</v>
      </c>
      <c r="E18" s="3">
        <v>15</v>
      </c>
      <c r="F18" s="3">
        <v>55000</v>
      </c>
      <c r="G18" s="3">
        <v>594000</v>
      </c>
      <c r="H18" s="3">
        <v>825000</v>
      </c>
      <c r="I18" s="3">
        <f t="shared" si="0"/>
        <v>286000</v>
      </c>
    </row>
    <row r="19" spans="1:9">
      <c r="A19" s="3" t="s">
        <v>43</v>
      </c>
      <c r="B19" s="3" t="s">
        <v>33</v>
      </c>
      <c r="C19" s="3" t="s">
        <v>44</v>
      </c>
      <c r="D19" s="3" t="s">
        <v>12</v>
      </c>
      <c r="E19" s="3">
        <v>5</v>
      </c>
      <c r="F19" s="3">
        <v>800</v>
      </c>
      <c r="G19" s="3">
        <v>2000</v>
      </c>
      <c r="H19" s="3">
        <v>4000</v>
      </c>
      <c r="I19" s="3">
        <f t="shared" si="0"/>
        <v>2800</v>
      </c>
    </row>
    <row r="20" spans="1:9">
      <c r="A20" s="3" t="s">
        <v>45</v>
      </c>
      <c r="B20" s="3" t="s">
        <v>33</v>
      </c>
      <c r="C20" s="3" t="s">
        <v>22</v>
      </c>
      <c r="D20" s="3" t="s">
        <v>23</v>
      </c>
      <c r="E20" s="3">
        <v>26</v>
      </c>
      <c r="F20" s="3">
        <v>25000</v>
      </c>
      <c r="G20" s="3">
        <v>455000</v>
      </c>
      <c r="H20" s="3">
        <v>650000</v>
      </c>
      <c r="I20" s="3">
        <f t="shared" si="0"/>
        <v>220000</v>
      </c>
    </row>
    <row r="21" spans="1:9">
      <c r="A21" s="3" t="s">
        <v>46</v>
      </c>
      <c r="B21" s="3" t="s">
        <v>47</v>
      </c>
      <c r="C21" s="3" t="s">
        <v>22</v>
      </c>
      <c r="D21" s="3" t="s">
        <v>12</v>
      </c>
      <c r="E21" s="3">
        <v>9</v>
      </c>
      <c r="F21" s="3">
        <v>800</v>
      </c>
      <c r="G21" s="3">
        <v>3600</v>
      </c>
      <c r="H21" s="3">
        <v>7200</v>
      </c>
      <c r="I21" s="3">
        <f t="shared" si="0"/>
        <v>4400</v>
      </c>
    </row>
    <row r="22" spans="1:9">
      <c r="A22" s="3" t="s">
        <v>48</v>
      </c>
      <c r="B22" s="3" t="s">
        <v>30</v>
      </c>
      <c r="C22" s="3" t="s">
        <v>44</v>
      </c>
      <c r="D22" s="3" t="s">
        <v>40</v>
      </c>
      <c r="E22" s="3">
        <v>26</v>
      </c>
      <c r="F22" s="3">
        <v>6000</v>
      </c>
      <c r="G22" s="3">
        <v>96720</v>
      </c>
      <c r="H22" s="3">
        <v>156000</v>
      </c>
      <c r="I22" s="3">
        <f t="shared" si="0"/>
        <v>65280</v>
      </c>
    </row>
    <row r="23" spans="1:9">
      <c r="A23" s="3" t="s">
        <v>49</v>
      </c>
      <c r="B23" s="3" t="s">
        <v>20</v>
      </c>
      <c r="C23" s="3" t="s">
        <v>22</v>
      </c>
      <c r="D23" s="3" t="s">
        <v>15</v>
      </c>
      <c r="E23" s="3">
        <v>32</v>
      </c>
      <c r="F23" s="3">
        <v>3500</v>
      </c>
      <c r="G23" s="3">
        <v>67200</v>
      </c>
      <c r="H23" s="3">
        <v>112000</v>
      </c>
      <c r="I23" s="3">
        <f t="shared" si="0"/>
        <v>48300</v>
      </c>
    </row>
    <row r="24" spans="1:9">
      <c r="A24" s="3" t="s">
        <v>50</v>
      </c>
      <c r="B24" s="3" t="s">
        <v>25</v>
      </c>
      <c r="C24" s="3" t="s">
        <v>11</v>
      </c>
      <c r="D24" s="3" t="s">
        <v>51</v>
      </c>
      <c r="E24" s="3">
        <v>41</v>
      </c>
      <c r="F24" s="3">
        <v>15000</v>
      </c>
      <c r="G24" s="3">
        <v>399750</v>
      </c>
      <c r="H24" s="3">
        <v>615000</v>
      </c>
      <c r="I24" s="3">
        <f t="shared" si="0"/>
        <v>230250</v>
      </c>
    </row>
    <row r="25" spans="1:9">
      <c r="A25" s="3" t="s">
        <v>52</v>
      </c>
      <c r="B25" s="3" t="s">
        <v>17</v>
      </c>
      <c r="C25" s="3" t="s">
        <v>11</v>
      </c>
      <c r="D25" s="3" t="s">
        <v>26</v>
      </c>
      <c r="E25" s="3">
        <v>25</v>
      </c>
      <c r="F25" s="3">
        <v>12000</v>
      </c>
      <c r="G25" s="3">
        <v>204000</v>
      </c>
      <c r="H25" s="3">
        <v>300000</v>
      </c>
      <c r="I25" s="3">
        <f t="shared" si="0"/>
        <v>108000</v>
      </c>
    </row>
    <row r="26" spans="1:9">
      <c r="A26" s="3" t="s">
        <v>53</v>
      </c>
      <c r="B26" s="3" t="s">
        <v>47</v>
      </c>
      <c r="C26" s="3" t="s">
        <v>36</v>
      </c>
      <c r="D26" s="3" t="s">
        <v>15</v>
      </c>
      <c r="E26" s="3">
        <v>1</v>
      </c>
      <c r="F26" s="3">
        <v>3500</v>
      </c>
      <c r="G26" s="3">
        <v>2100</v>
      </c>
      <c r="H26" s="3">
        <v>3500</v>
      </c>
      <c r="I26" s="3">
        <f t="shared" si="0"/>
        <v>4900</v>
      </c>
    </row>
    <row r="27" spans="1:9">
      <c r="A27" s="3" t="s">
        <v>54</v>
      </c>
      <c r="B27" s="3" t="s">
        <v>10</v>
      </c>
      <c r="C27" s="3" t="s">
        <v>36</v>
      </c>
      <c r="D27" s="3" t="s">
        <v>27</v>
      </c>
      <c r="E27" s="3">
        <v>8</v>
      </c>
      <c r="F27" s="3">
        <v>2200</v>
      </c>
      <c r="G27" s="3">
        <v>10208</v>
      </c>
      <c r="H27" s="3">
        <v>17600</v>
      </c>
      <c r="I27" s="3">
        <f t="shared" si="0"/>
        <v>9592</v>
      </c>
    </row>
    <row r="28" spans="1:9">
      <c r="A28" s="3" t="s">
        <v>55</v>
      </c>
      <c r="B28" s="3" t="s">
        <v>17</v>
      </c>
      <c r="C28" s="3" t="s">
        <v>22</v>
      </c>
      <c r="D28" s="3" t="s">
        <v>23</v>
      </c>
      <c r="E28" s="3">
        <v>1</v>
      </c>
      <c r="F28" s="3">
        <v>25000</v>
      </c>
      <c r="G28" s="3">
        <v>17500</v>
      </c>
      <c r="H28" s="3">
        <v>25000</v>
      </c>
      <c r="I28" s="3">
        <f t="shared" si="0"/>
        <v>32500</v>
      </c>
    </row>
    <row r="29" spans="1:9">
      <c r="A29" s="3" t="s">
        <v>56</v>
      </c>
      <c r="B29" s="3" t="s">
        <v>14</v>
      </c>
      <c r="C29" s="3" t="s">
        <v>11</v>
      </c>
      <c r="D29" s="3" t="s">
        <v>12</v>
      </c>
      <c r="E29" s="3">
        <v>41</v>
      </c>
      <c r="F29" s="3">
        <v>800</v>
      </c>
      <c r="G29" s="3">
        <v>16400</v>
      </c>
      <c r="H29" s="3">
        <v>32800</v>
      </c>
      <c r="I29" s="3">
        <f t="shared" si="0"/>
        <v>17200</v>
      </c>
    </row>
    <row r="30" spans="1:9">
      <c r="A30" s="3" t="s">
        <v>57</v>
      </c>
      <c r="B30" s="3" t="s">
        <v>20</v>
      </c>
      <c r="C30" s="3" t="s">
        <v>22</v>
      </c>
      <c r="D30" s="3" t="s">
        <v>27</v>
      </c>
      <c r="E30" s="3">
        <v>49</v>
      </c>
      <c r="F30" s="3">
        <v>2200</v>
      </c>
      <c r="G30" s="3">
        <v>62524</v>
      </c>
      <c r="H30" s="3">
        <v>107800</v>
      </c>
      <c r="I30" s="3">
        <f t="shared" si="0"/>
        <v>47476</v>
      </c>
    </row>
    <row r="31" spans="1:9">
      <c r="A31" s="3" t="s">
        <v>58</v>
      </c>
      <c r="B31" s="3" t="s">
        <v>25</v>
      </c>
      <c r="C31" s="3" t="s">
        <v>36</v>
      </c>
      <c r="D31" s="3" t="s">
        <v>23</v>
      </c>
      <c r="E31" s="3">
        <v>2</v>
      </c>
      <c r="F31" s="3">
        <v>25000</v>
      </c>
      <c r="G31" s="3">
        <v>35000</v>
      </c>
      <c r="H31" s="3">
        <v>50000</v>
      </c>
      <c r="I31" s="3">
        <f t="shared" si="0"/>
        <v>40000</v>
      </c>
    </row>
    <row r="32" spans="1:9">
      <c r="A32" s="3" t="s">
        <v>59</v>
      </c>
      <c r="B32" s="3" t="s">
        <v>33</v>
      </c>
      <c r="C32" s="3" t="s">
        <v>36</v>
      </c>
      <c r="D32" s="3" t="s">
        <v>60</v>
      </c>
      <c r="E32" s="3">
        <v>4</v>
      </c>
      <c r="F32" s="3">
        <v>1500</v>
      </c>
      <c r="G32" s="3">
        <v>3300</v>
      </c>
      <c r="H32" s="3">
        <v>6000</v>
      </c>
      <c r="I32" s="3">
        <f t="shared" si="0"/>
        <v>4200</v>
      </c>
    </row>
    <row r="33" spans="1:9">
      <c r="A33" s="3" t="s">
        <v>61</v>
      </c>
      <c r="B33" s="3" t="s">
        <v>10</v>
      </c>
      <c r="C33" s="3" t="s">
        <v>11</v>
      </c>
      <c r="D33" s="3" t="s">
        <v>23</v>
      </c>
      <c r="E33" s="3">
        <v>5</v>
      </c>
      <c r="F33" s="3">
        <v>25000</v>
      </c>
      <c r="G33" s="3">
        <v>87500</v>
      </c>
      <c r="H33" s="3">
        <v>125000</v>
      </c>
      <c r="I33" s="3">
        <f t="shared" si="0"/>
        <v>62500</v>
      </c>
    </row>
    <row r="34" spans="1:9">
      <c r="A34" s="3" t="s">
        <v>62</v>
      </c>
      <c r="B34" s="3" t="s">
        <v>14</v>
      </c>
      <c r="C34" s="3" t="s">
        <v>22</v>
      </c>
      <c r="D34" s="3" t="s">
        <v>23</v>
      </c>
      <c r="E34" s="3">
        <v>36</v>
      </c>
      <c r="F34" s="3">
        <v>25000</v>
      </c>
      <c r="G34" s="3">
        <v>630000</v>
      </c>
      <c r="H34" s="3">
        <v>900000</v>
      </c>
      <c r="I34" s="3">
        <f t="shared" si="0"/>
        <v>295000</v>
      </c>
    </row>
    <row r="35" spans="1:9">
      <c r="A35" s="3" t="s">
        <v>63</v>
      </c>
      <c r="B35" s="3" t="s">
        <v>30</v>
      </c>
      <c r="C35" s="3" t="s">
        <v>44</v>
      </c>
      <c r="D35" s="3" t="s">
        <v>60</v>
      </c>
      <c r="E35" s="3">
        <v>35</v>
      </c>
      <c r="F35" s="3">
        <v>1500</v>
      </c>
      <c r="G35" s="3">
        <v>28875</v>
      </c>
      <c r="H35" s="3">
        <v>52500</v>
      </c>
      <c r="I35" s="3">
        <f t="shared" si="0"/>
        <v>25125</v>
      </c>
    </row>
    <row r="36" spans="1:9">
      <c r="A36" s="3" t="s">
        <v>64</v>
      </c>
      <c r="B36" s="3" t="s">
        <v>20</v>
      </c>
      <c r="C36" s="3" t="s">
        <v>36</v>
      </c>
      <c r="D36" s="3" t="s">
        <v>26</v>
      </c>
      <c r="E36" s="3">
        <v>43</v>
      </c>
      <c r="F36" s="3">
        <v>12000</v>
      </c>
      <c r="G36" s="3">
        <v>350880</v>
      </c>
      <c r="H36" s="3">
        <v>516000</v>
      </c>
      <c r="I36" s="3">
        <f t="shared" si="0"/>
        <v>177120</v>
      </c>
    </row>
    <row r="37" spans="1:9">
      <c r="A37" s="3" t="s">
        <v>21</v>
      </c>
      <c r="B37" s="3" t="s">
        <v>33</v>
      </c>
      <c r="C37" s="3" t="s">
        <v>44</v>
      </c>
      <c r="D37" s="3" t="s">
        <v>15</v>
      </c>
      <c r="E37" s="3">
        <v>29</v>
      </c>
      <c r="F37" s="3">
        <v>3500</v>
      </c>
      <c r="G37" s="3">
        <v>60900</v>
      </c>
      <c r="H37" s="3">
        <v>101500</v>
      </c>
      <c r="I37" s="3">
        <f t="shared" si="0"/>
        <v>44100</v>
      </c>
    </row>
    <row r="38" spans="1:9">
      <c r="A38" s="3" t="s">
        <v>65</v>
      </c>
      <c r="B38" s="3" t="s">
        <v>20</v>
      </c>
      <c r="C38" s="3" t="s">
        <v>22</v>
      </c>
      <c r="D38" s="3" t="s">
        <v>34</v>
      </c>
      <c r="E38" s="3">
        <v>22</v>
      </c>
      <c r="F38" s="3">
        <v>45000</v>
      </c>
      <c r="G38" s="3">
        <v>693000</v>
      </c>
      <c r="H38" s="3">
        <v>990000</v>
      </c>
      <c r="I38" s="3">
        <f t="shared" si="0"/>
        <v>342000</v>
      </c>
    </row>
    <row r="39" spans="1:9">
      <c r="A39" s="3" t="s">
        <v>66</v>
      </c>
      <c r="B39" s="3" t="s">
        <v>20</v>
      </c>
      <c r="C39" s="3" t="s">
        <v>22</v>
      </c>
      <c r="D39" s="3" t="s">
        <v>18</v>
      </c>
      <c r="E39" s="3">
        <v>5</v>
      </c>
      <c r="F39" s="3">
        <v>55000</v>
      </c>
      <c r="G39" s="3">
        <v>198000</v>
      </c>
      <c r="H39" s="3">
        <v>275000</v>
      </c>
      <c r="I39" s="3">
        <f t="shared" si="0"/>
        <v>132000</v>
      </c>
    </row>
    <row r="40" spans="1:9">
      <c r="A40" s="3" t="s">
        <v>67</v>
      </c>
      <c r="B40" s="3" t="s">
        <v>25</v>
      </c>
      <c r="C40" s="3" t="s">
        <v>22</v>
      </c>
      <c r="D40" s="3" t="s">
        <v>34</v>
      </c>
      <c r="E40" s="3">
        <v>3</v>
      </c>
      <c r="F40" s="3">
        <v>45000</v>
      </c>
      <c r="G40" s="3">
        <v>94500</v>
      </c>
      <c r="H40" s="3">
        <v>135000</v>
      </c>
      <c r="I40" s="3">
        <f t="shared" si="0"/>
        <v>85500</v>
      </c>
    </row>
    <row r="41" spans="1:9">
      <c r="A41" s="3" t="s">
        <v>68</v>
      </c>
      <c r="B41" s="3" t="s">
        <v>10</v>
      </c>
      <c r="C41" s="3" t="s">
        <v>22</v>
      </c>
      <c r="D41" s="3" t="s">
        <v>12</v>
      </c>
      <c r="E41" s="3">
        <v>43</v>
      </c>
      <c r="F41" s="3">
        <v>800</v>
      </c>
      <c r="G41" s="3">
        <v>17200</v>
      </c>
      <c r="H41" s="3">
        <v>34400</v>
      </c>
      <c r="I41" s="3">
        <f t="shared" si="0"/>
        <v>18000</v>
      </c>
    </row>
    <row r="42" spans="1:9">
      <c r="A42" s="3" t="s">
        <v>69</v>
      </c>
      <c r="B42" s="3" t="s">
        <v>20</v>
      </c>
      <c r="C42" s="3" t="s">
        <v>22</v>
      </c>
      <c r="D42" s="3" t="s">
        <v>40</v>
      </c>
      <c r="E42" s="3">
        <v>37</v>
      </c>
      <c r="F42" s="3">
        <v>6000</v>
      </c>
      <c r="G42" s="3">
        <v>137640</v>
      </c>
      <c r="H42" s="3">
        <v>222000</v>
      </c>
      <c r="I42" s="3">
        <f t="shared" si="0"/>
        <v>90360</v>
      </c>
    </row>
    <row r="43" spans="1:9">
      <c r="A43" s="3" t="s">
        <v>70</v>
      </c>
      <c r="B43" s="3" t="s">
        <v>20</v>
      </c>
      <c r="C43" s="3" t="s">
        <v>44</v>
      </c>
      <c r="D43" s="3" t="s">
        <v>26</v>
      </c>
      <c r="E43" s="3">
        <v>13</v>
      </c>
      <c r="F43" s="3">
        <v>12000</v>
      </c>
      <c r="G43" s="3">
        <v>106080</v>
      </c>
      <c r="H43" s="3">
        <v>156000</v>
      </c>
      <c r="I43" s="3">
        <f t="shared" si="0"/>
        <v>61920</v>
      </c>
    </row>
    <row r="44" spans="1:9">
      <c r="A44" s="3" t="s">
        <v>71</v>
      </c>
      <c r="B44" s="3" t="s">
        <v>10</v>
      </c>
      <c r="C44" s="3" t="s">
        <v>44</v>
      </c>
      <c r="D44" s="3" t="s">
        <v>27</v>
      </c>
      <c r="E44" s="3">
        <v>28</v>
      </c>
      <c r="F44" s="3">
        <v>2200</v>
      </c>
      <c r="G44" s="3">
        <v>35728</v>
      </c>
      <c r="H44" s="3">
        <v>61600</v>
      </c>
      <c r="I44" s="3">
        <f t="shared" si="0"/>
        <v>28072</v>
      </c>
    </row>
    <row r="45" spans="1:9">
      <c r="A45" s="3" t="s">
        <v>72</v>
      </c>
      <c r="B45" s="3" t="s">
        <v>47</v>
      </c>
      <c r="C45" s="3" t="s">
        <v>11</v>
      </c>
      <c r="D45" s="3" t="s">
        <v>34</v>
      </c>
      <c r="E45" s="3">
        <v>4</v>
      </c>
      <c r="F45" s="3">
        <v>45000</v>
      </c>
      <c r="G45" s="3">
        <v>126000</v>
      </c>
      <c r="H45" s="3">
        <v>180000</v>
      </c>
      <c r="I45" s="3">
        <f t="shared" si="0"/>
        <v>99000</v>
      </c>
    </row>
    <row r="46" spans="1:9">
      <c r="A46" s="3" t="s">
        <v>73</v>
      </c>
      <c r="B46" s="3" t="s">
        <v>33</v>
      </c>
      <c r="C46" s="3" t="s">
        <v>11</v>
      </c>
      <c r="D46" s="3" t="s">
        <v>60</v>
      </c>
      <c r="E46" s="3">
        <v>13</v>
      </c>
      <c r="F46" s="3">
        <v>1500</v>
      </c>
      <c r="G46" s="3">
        <v>10725</v>
      </c>
      <c r="H46" s="3">
        <v>19500</v>
      </c>
      <c r="I46" s="3">
        <f t="shared" si="0"/>
        <v>10275</v>
      </c>
    </row>
    <row r="47" spans="1:9">
      <c r="A47" s="3" t="s">
        <v>74</v>
      </c>
      <c r="B47" s="3" t="s">
        <v>47</v>
      </c>
      <c r="C47" s="3" t="s">
        <v>22</v>
      </c>
      <c r="D47" s="3" t="s">
        <v>26</v>
      </c>
      <c r="E47" s="3">
        <v>12</v>
      </c>
      <c r="F47" s="3">
        <v>12000</v>
      </c>
      <c r="G47" s="3">
        <v>97920</v>
      </c>
      <c r="H47" s="3">
        <v>144000</v>
      </c>
      <c r="I47" s="3">
        <f t="shared" si="0"/>
        <v>58080</v>
      </c>
    </row>
    <row r="48" spans="1:9">
      <c r="A48" s="3" t="s">
        <v>24</v>
      </c>
      <c r="B48" s="3" t="s">
        <v>47</v>
      </c>
      <c r="C48" s="3" t="s">
        <v>22</v>
      </c>
      <c r="D48" s="3" t="s">
        <v>34</v>
      </c>
      <c r="E48" s="3">
        <v>29</v>
      </c>
      <c r="F48" s="3">
        <v>45000</v>
      </c>
      <c r="G48" s="3">
        <v>913500</v>
      </c>
      <c r="H48" s="3">
        <v>1305000</v>
      </c>
      <c r="I48" s="3">
        <f t="shared" si="0"/>
        <v>436500</v>
      </c>
    </row>
    <row r="49" spans="1:9">
      <c r="A49" s="3" t="s">
        <v>75</v>
      </c>
      <c r="B49" s="3" t="s">
        <v>10</v>
      </c>
      <c r="C49" s="3" t="s">
        <v>11</v>
      </c>
      <c r="D49" s="3" t="s">
        <v>15</v>
      </c>
      <c r="E49" s="3">
        <v>1</v>
      </c>
      <c r="F49" s="3">
        <v>3500</v>
      </c>
      <c r="G49" s="3">
        <v>2100</v>
      </c>
      <c r="H49" s="3">
        <v>3500</v>
      </c>
      <c r="I49" s="3">
        <f t="shared" si="0"/>
        <v>4900</v>
      </c>
    </row>
    <row r="50" spans="1:9">
      <c r="A50" s="3" t="s">
        <v>28</v>
      </c>
      <c r="B50" s="3" t="s">
        <v>20</v>
      </c>
      <c r="C50" s="3" t="s">
        <v>22</v>
      </c>
      <c r="D50" s="3" t="s">
        <v>26</v>
      </c>
      <c r="E50" s="3">
        <v>32</v>
      </c>
      <c r="F50" s="3">
        <v>12000</v>
      </c>
      <c r="G50" s="3">
        <v>261120</v>
      </c>
      <c r="H50" s="3">
        <v>384000</v>
      </c>
      <c r="I50" s="3">
        <f t="shared" si="0"/>
        <v>134880</v>
      </c>
    </row>
    <row r="51" spans="1:9">
      <c r="A51" s="3" t="s">
        <v>76</v>
      </c>
      <c r="B51" s="3" t="s">
        <v>20</v>
      </c>
      <c r="C51" s="3" t="s">
        <v>44</v>
      </c>
      <c r="D51" s="3" t="s">
        <v>18</v>
      </c>
      <c r="E51" s="3">
        <v>11</v>
      </c>
      <c r="F51" s="3">
        <v>55000</v>
      </c>
      <c r="G51" s="3">
        <v>435600</v>
      </c>
      <c r="H51" s="3">
        <v>605000</v>
      </c>
      <c r="I51" s="3">
        <f t="shared" si="0"/>
        <v>224400</v>
      </c>
    </row>
    <row r="52" spans="1:9">
      <c r="A52" s="3" t="s">
        <v>77</v>
      </c>
      <c r="B52" s="3" t="s">
        <v>25</v>
      </c>
      <c r="C52" s="3" t="s">
        <v>44</v>
      </c>
      <c r="D52" s="3" t="s">
        <v>12</v>
      </c>
      <c r="E52" s="3">
        <v>30</v>
      </c>
      <c r="F52" s="3">
        <v>800</v>
      </c>
      <c r="G52" s="3">
        <v>12000</v>
      </c>
      <c r="H52" s="3">
        <v>24000</v>
      </c>
      <c r="I52" s="3">
        <f t="shared" si="0"/>
        <v>12800</v>
      </c>
    </row>
    <row r="53" spans="1:9">
      <c r="A53" s="3" t="s">
        <v>78</v>
      </c>
      <c r="B53" s="3" t="s">
        <v>17</v>
      </c>
      <c r="C53" s="3" t="s">
        <v>44</v>
      </c>
      <c r="D53" s="3" t="s">
        <v>51</v>
      </c>
      <c r="E53" s="3">
        <v>13</v>
      </c>
      <c r="F53" s="3">
        <v>15000</v>
      </c>
      <c r="G53" s="3">
        <v>126750</v>
      </c>
      <c r="H53" s="3">
        <v>195000</v>
      </c>
      <c r="I53" s="3">
        <f t="shared" si="0"/>
        <v>83250</v>
      </c>
    </row>
    <row r="54" spans="1:9">
      <c r="A54" s="3" t="s">
        <v>79</v>
      </c>
      <c r="B54" s="3" t="s">
        <v>20</v>
      </c>
      <c r="C54" s="3" t="s">
        <v>11</v>
      </c>
      <c r="D54" s="3" t="s">
        <v>40</v>
      </c>
      <c r="E54" s="3">
        <v>48</v>
      </c>
      <c r="F54" s="3">
        <v>6000</v>
      </c>
      <c r="G54" s="3">
        <v>178560</v>
      </c>
      <c r="H54" s="3">
        <v>288000</v>
      </c>
      <c r="I54" s="3">
        <f t="shared" si="0"/>
        <v>115440</v>
      </c>
    </row>
    <row r="55" spans="1:9">
      <c r="A55" s="3" t="s">
        <v>80</v>
      </c>
      <c r="B55" s="3" t="s">
        <v>25</v>
      </c>
      <c r="C55" s="3" t="s">
        <v>36</v>
      </c>
      <c r="D55" s="3" t="s">
        <v>18</v>
      </c>
      <c r="E55" s="3">
        <v>4</v>
      </c>
      <c r="F55" s="3">
        <v>55000</v>
      </c>
      <c r="G55" s="3">
        <v>158400</v>
      </c>
      <c r="H55" s="3">
        <v>220000</v>
      </c>
      <c r="I55" s="3">
        <f t="shared" si="0"/>
        <v>116600</v>
      </c>
    </row>
    <row r="56" spans="1:9">
      <c r="A56" s="3" t="s">
        <v>81</v>
      </c>
      <c r="B56" s="3" t="s">
        <v>47</v>
      </c>
      <c r="C56" s="3" t="s">
        <v>22</v>
      </c>
      <c r="D56" s="3" t="s">
        <v>18</v>
      </c>
      <c r="E56" s="3">
        <v>33</v>
      </c>
      <c r="F56" s="3">
        <v>55000</v>
      </c>
      <c r="G56" s="3">
        <v>1306800</v>
      </c>
      <c r="H56" s="3">
        <v>1815000</v>
      </c>
      <c r="I56" s="3">
        <f t="shared" si="0"/>
        <v>563200</v>
      </c>
    </row>
    <row r="57" spans="1:9">
      <c r="A57" s="3" t="s">
        <v>82</v>
      </c>
      <c r="B57" s="3" t="s">
        <v>14</v>
      </c>
      <c r="C57" s="3" t="s">
        <v>11</v>
      </c>
      <c r="D57" s="3" t="s">
        <v>40</v>
      </c>
      <c r="E57" s="3">
        <v>5</v>
      </c>
      <c r="F57" s="3">
        <v>6000</v>
      </c>
      <c r="G57" s="3">
        <v>18600</v>
      </c>
      <c r="H57" s="3">
        <v>30000</v>
      </c>
      <c r="I57" s="3">
        <f t="shared" si="0"/>
        <v>17400</v>
      </c>
    </row>
    <row r="58" spans="1:9">
      <c r="A58" s="3" t="s">
        <v>83</v>
      </c>
      <c r="B58" s="3" t="s">
        <v>20</v>
      </c>
      <c r="C58" s="3" t="s">
        <v>44</v>
      </c>
      <c r="D58" s="3" t="s">
        <v>34</v>
      </c>
      <c r="E58" s="3">
        <v>37</v>
      </c>
      <c r="F58" s="3">
        <v>45000</v>
      </c>
      <c r="G58" s="3">
        <v>1165500</v>
      </c>
      <c r="H58" s="3">
        <v>1665000</v>
      </c>
      <c r="I58" s="3">
        <f t="shared" si="0"/>
        <v>544500</v>
      </c>
    </row>
    <row r="59" spans="1:9">
      <c r="A59" s="3" t="s">
        <v>48</v>
      </c>
      <c r="B59" s="3" t="s">
        <v>25</v>
      </c>
      <c r="C59" s="3" t="s">
        <v>11</v>
      </c>
      <c r="D59" s="3" t="s">
        <v>26</v>
      </c>
      <c r="E59" s="3">
        <v>43</v>
      </c>
      <c r="F59" s="3">
        <v>12000</v>
      </c>
      <c r="G59" s="3">
        <v>350880</v>
      </c>
      <c r="H59" s="3">
        <v>516000</v>
      </c>
      <c r="I59" s="3">
        <f t="shared" si="0"/>
        <v>177120</v>
      </c>
    </row>
    <row r="60" spans="1:9">
      <c r="A60" s="3" t="s">
        <v>84</v>
      </c>
      <c r="B60" s="3" t="s">
        <v>33</v>
      </c>
      <c r="C60" s="3" t="s">
        <v>36</v>
      </c>
      <c r="D60" s="3" t="s">
        <v>60</v>
      </c>
      <c r="E60" s="3">
        <v>43</v>
      </c>
      <c r="F60" s="3">
        <v>1500</v>
      </c>
      <c r="G60" s="3">
        <v>35475</v>
      </c>
      <c r="H60" s="3">
        <v>64500</v>
      </c>
      <c r="I60" s="3">
        <f t="shared" si="0"/>
        <v>30525</v>
      </c>
    </row>
    <row r="61" spans="1:9">
      <c r="A61" s="3" t="s">
        <v>85</v>
      </c>
      <c r="B61" s="3" t="s">
        <v>20</v>
      </c>
      <c r="C61" s="3" t="s">
        <v>36</v>
      </c>
      <c r="D61" s="3" t="s">
        <v>26</v>
      </c>
      <c r="E61" s="3">
        <v>9</v>
      </c>
      <c r="F61" s="3">
        <v>12000</v>
      </c>
      <c r="G61" s="3">
        <v>73440</v>
      </c>
      <c r="H61" s="3">
        <v>108000</v>
      </c>
      <c r="I61" s="3">
        <f t="shared" si="0"/>
        <v>46560</v>
      </c>
    </row>
    <row r="62" spans="1:9">
      <c r="A62" s="3" t="s">
        <v>39</v>
      </c>
      <c r="B62" s="3" t="s">
        <v>30</v>
      </c>
      <c r="C62" s="3" t="s">
        <v>44</v>
      </c>
      <c r="D62" s="3" t="s">
        <v>27</v>
      </c>
      <c r="E62" s="3">
        <v>49</v>
      </c>
      <c r="F62" s="3">
        <v>2200</v>
      </c>
      <c r="G62" s="3">
        <v>62524</v>
      </c>
      <c r="H62" s="3">
        <v>107800</v>
      </c>
      <c r="I62" s="3">
        <f t="shared" si="0"/>
        <v>47476</v>
      </c>
    </row>
    <row r="63" spans="1:9">
      <c r="A63" s="3" t="s">
        <v>86</v>
      </c>
      <c r="B63" s="3" t="s">
        <v>25</v>
      </c>
      <c r="C63" s="3" t="s">
        <v>44</v>
      </c>
      <c r="D63" s="3" t="s">
        <v>40</v>
      </c>
      <c r="E63" s="3">
        <v>37</v>
      </c>
      <c r="F63" s="3">
        <v>6000</v>
      </c>
      <c r="G63" s="3">
        <v>137640</v>
      </c>
      <c r="H63" s="3">
        <v>222000</v>
      </c>
      <c r="I63" s="3">
        <f t="shared" si="0"/>
        <v>90360</v>
      </c>
    </row>
    <row r="64" spans="1:9">
      <c r="A64" s="3" t="s">
        <v>37</v>
      </c>
      <c r="B64" s="3" t="s">
        <v>10</v>
      </c>
      <c r="C64" s="3" t="s">
        <v>22</v>
      </c>
      <c r="D64" s="3" t="s">
        <v>15</v>
      </c>
      <c r="E64" s="3">
        <v>17</v>
      </c>
      <c r="F64" s="3">
        <v>3500</v>
      </c>
      <c r="G64" s="3">
        <v>35700</v>
      </c>
      <c r="H64" s="3">
        <v>59500</v>
      </c>
      <c r="I64" s="3">
        <f t="shared" si="0"/>
        <v>27300</v>
      </c>
    </row>
    <row r="65" spans="1:9">
      <c r="A65" s="3" t="s">
        <v>87</v>
      </c>
      <c r="B65" s="3" t="s">
        <v>33</v>
      </c>
      <c r="C65" s="3" t="s">
        <v>11</v>
      </c>
      <c r="D65" s="3" t="s">
        <v>60</v>
      </c>
      <c r="E65" s="3">
        <v>24</v>
      </c>
      <c r="F65" s="3">
        <v>1500</v>
      </c>
      <c r="G65" s="3">
        <v>19800</v>
      </c>
      <c r="H65" s="3">
        <v>36000</v>
      </c>
      <c r="I65" s="3">
        <f t="shared" si="0"/>
        <v>17700</v>
      </c>
    </row>
    <row r="66" spans="1:9">
      <c r="A66" s="3" t="s">
        <v>88</v>
      </c>
      <c r="B66" s="3" t="s">
        <v>14</v>
      </c>
      <c r="C66" s="3" t="s">
        <v>44</v>
      </c>
      <c r="D66" s="3" t="s">
        <v>15</v>
      </c>
      <c r="E66" s="3">
        <v>46</v>
      </c>
      <c r="F66" s="3">
        <v>3500</v>
      </c>
      <c r="G66" s="3">
        <v>96600</v>
      </c>
      <c r="H66" s="3">
        <v>161000</v>
      </c>
      <c r="I66" s="3">
        <f t="shared" si="0"/>
        <v>67900</v>
      </c>
    </row>
    <row r="67" spans="1:9">
      <c r="A67" s="3" t="s">
        <v>89</v>
      </c>
      <c r="B67" s="3" t="s">
        <v>25</v>
      </c>
      <c r="C67" s="3" t="s">
        <v>36</v>
      </c>
      <c r="D67" s="3" t="s">
        <v>34</v>
      </c>
      <c r="E67" s="3">
        <v>9</v>
      </c>
      <c r="F67" s="3">
        <v>45000</v>
      </c>
      <c r="G67" s="3">
        <v>283500</v>
      </c>
      <c r="H67" s="3">
        <v>405000</v>
      </c>
      <c r="I67" s="3">
        <f t="shared" ref="I67:I130" si="1">H67-(G67-F67)</f>
        <v>166500</v>
      </c>
    </row>
    <row r="68" spans="1:9">
      <c r="A68" s="3" t="s">
        <v>90</v>
      </c>
      <c r="B68" s="3" t="s">
        <v>10</v>
      </c>
      <c r="C68" s="3" t="s">
        <v>11</v>
      </c>
      <c r="D68" s="3" t="s">
        <v>15</v>
      </c>
      <c r="E68" s="3">
        <v>10</v>
      </c>
      <c r="F68" s="3">
        <v>3500</v>
      </c>
      <c r="G68" s="3">
        <v>21000</v>
      </c>
      <c r="H68" s="3">
        <v>35000</v>
      </c>
      <c r="I68" s="3">
        <f t="shared" si="1"/>
        <v>17500</v>
      </c>
    </row>
    <row r="69" spans="1:9">
      <c r="A69" s="3" t="s">
        <v>91</v>
      </c>
      <c r="B69" s="3" t="s">
        <v>30</v>
      </c>
      <c r="C69" s="3" t="s">
        <v>22</v>
      </c>
      <c r="D69" s="3" t="s">
        <v>27</v>
      </c>
      <c r="E69" s="3">
        <v>14</v>
      </c>
      <c r="F69" s="3">
        <v>2200</v>
      </c>
      <c r="G69" s="3">
        <v>17864</v>
      </c>
      <c r="H69" s="3">
        <v>30800</v>
      </c>
      <c r="I69" s="3">
        <f t="shared" si="1"/>
        <v>15136</v>
      </c>
    </row>
    <row r="70" spans="1:9">
      <c r="A70" s="3" t="s">
        <v>92</v>
      </c>
      <c r="B70" s="3" t="s">
        <v>30</v>
      </c>
      <c r="C70" s="3" t="s">
        <v>44</v>
      </c>
      <c r="D70" s="3" t="s">
        <v>12</v>
      </c>
      <c r="E70" s="3">
        <v>4</v>
      </c>
      <c r="F70" s="3">
        <v>800</v>
      </c>
      <c r="G70" s="3">
        <v>1600</v>
      </c>
      <c r="H70" s="3">
        <v>3200</v>
      </c>
      <c r="I70" s="3">
        <f t="shared" si="1"/>
        <v>2400</v>
      </c>
    </row>
    <row r="71" spans="1:9">
      <c r="A71" s="3" t="s">
        <v>28</v>
      </c>
      <c r="B71" s="3" t="s">
        <v>17</v>
      </c>
      <c r="C71" s="3" t="s">
        <v>36</v>
      </c>
      <c r="D71" s="3" t="s">
        <v>18</v>
      </c>
      <c r="E71" s="3">
        <v>1</v>
      </c>
      <c r="F71" s="3">
        <v>55000</v>
      </c>
      <c r="G71" s="3">
        <v>39600</v>
      </c>
      <c r="H71" s="3">
        <v>55000</v>
      </c>
      <c r="I71" s="3">
        <f t="shared" si="1"/>
        <v>70400</v>
      </c>
    </row>
    <row r="72" spans="1:9">
      <c r="A72" s="3" t="s">
        <v>93</v>
      </c>
      <c r="B72" s="3" t="s">
        <v>14</v>
      </c>
      <c r="C72" s="3" t="s">
        <v>36</v>
      </c>
      <c r="D72" s="3" t="s">
        <v>51</v>
      </c>
      <c r="E72" s="3">
        <v>48</v>
      </c>
      <c r="F72" s="3">
        <v>15000</v>
      </c>
      <c r="G72" s="3">
        <v>468000</v>
      </c>
      <c r="H72" s="3">
        <v>720000</v>
      </c>
      <c r="I72" s="3">
        <f t="shared" si="1"/>
        <v>267000</v>
      </c>
    </row>
    <row r="73" spans="1:9">
      <c r="A73" s="3" t="s">
        <v>94</v>
      </c>
      <c r="B73" s="3" t="s">
        <v>17</v>
      </c>
      <c r="C73" s="3" t="s">
        <v>11</v>
      </c>
      <c r="D73" s="3" t="s">
        <v>34</v>
      </c>
      <c r="E73" s="3">
        <v>5</v>
      </c>
      <c r="F73" s="3">
        <v>45000</v>
      </c>
      <c r="G73" s="3">
        <v>157500</v>
      </c>
      <c r="H73" s="3">
        <v>225000</v>
      </c>
      <c r="I73" s="3">
        <f t="shared" si="1"/>
        <v>112500</v>
      </c>
    </row>
    <row r="74" spans="1:9">
      <c r="A74" s="3" t="s">
        <v>64</v>
      </c>
      <c r="B74" s="3" t="s">
        <v>14</v>
      </c>
      <c r="C74" s="3" t="s">
        <v>11</v>
      </c>
      <c r="D74" s="3" t="s">
        <v>27</v>
      </c>
      <c r="E74" s="3">
        <v>38</v>
      </c>
      <c r="F74" s="3">
        <v>2200</v>
      </c>
      <c r="G74" s="3">
        <v>48488</v>
      </c>
      <c r="H74" s="3">
        <v>83600</v>
      </c>
      <c r="I74" s="3">
        <f t="shared" si="1"/>
        <v>37312</v>
      </c>
    </row>
    <row r="75" spans="1:9">
      <c r="A75" s="3" t="s">
        <v>95</v>
      </c>
      <c r="B75" s="3" t="s">
        <v>14</v>
      </c>
      <c r="C75" s="3" t="s">
        <v>44</v>
      </c>
      <c r="D75" s="3" t="s">
        <v>51</v>
      </c>
      <c r="E75" s="3">
        <v>3</v>
      </c>
      <c r="F75" s="3">
        <v>15000</v>
      </c>
      <c r="G75" s="3">
        <v>29250</v>
      </c>
      <c r="H75" s="3">
        <v>45000</v>
      </c>
      <c r="I75" s="3">
        <f t="shared" si="1"/>
        <v>30750</v>
      </c>
    </row>
    <row r="76" spans="1:9">
      <c r="A76" s="3" t="s">
        <v>96</v>
      </c>
      <c r="B76" s="3" t="s">
        <v>33</v>
      </c>
      <c r="C76" s="3" t="s">
        <v>11</v>
      </c>
      <c r="D76" s="3" t="s">
        <v>27</v>
      </c>
      <c r="E76" s="3">
        <v>14</v>
      </c>
      <c r="F76" s="3">
        <v>2200</v>
      </c>
      <c r="G76" s="3">
        <v>17864</v>
      </c>
      <c r="H76" s="3">
        <v>30800</v>
      </c>
      <c r="I76" s="3">
        <f t="shared" si="1"/>
        <v>15136</v>
      </c>
    </row>
    <row r="77" spans="1:9">
      <c r="A77" s="3" t="s">
        <v>97</v>
      </c>
      <c r="B77" s="3" t="s">
        <v>20</v>
      </c>
      <c r="C77" s="3" t="s">
        <v>11</v>
      </c>
      <c r="D77" s="3" t="s">
        <v>27</v>
      </c>
      <c r="E77" s="3">
        <v>50</v>
      </c>
      <c r="F77" s="3">
        <v>2200</v>
      </c>
      <c r="G77" s="3">
        <v>63800</v>
      </c>
      <c r="H77" s="3">
        <v>110000</v>
      </c>
      <c r="I77" s="3">
        <f t="shared" si="1"/>
        <v>48400</v>
      </c>
    </row>
    <row r="78" spans="1:9">
      <c r="A78" s="3" t="s">
        <v>98</v>
      </c>
      <c r="B78" s="3" t="s">
        <v>17</v>
      </c>
      <c r="C78" s="3" t="s">
        <v>22</v>
      </c>
      <c r="D78" s="3" t="s">
        <v>60</v>
      </c>
      <c r="E78" s="3">
        <v>11</v>
      </c>
      <c r="F78" s="3">
        <v>1500</v>
      </c>
      <c r="G78" s="3">
        <v>9075</v>
      </c>
      <c r="H78" s="3">
        <v>16500</v>
      </c>
      <c r="I78" s="3">
        <f t="shared" si="1"/>
        <v>8925</v>
      </c>
    </row>
    <row r="79" spans="1:9">
      <c r="A79" s="3" t="s">
        <v>99</v>
      </c>
      <c r="B79" s="3" t="s">
        <v>17</v>
      </c>
      <c r="C79" s="3" t="s">
        <v>11</v>
      </c>
      <c r="D79" s="3" t="s">
        <v>51</v>
      </c>
      <c r="E79" s="3">
        <v>48</v>
      </c>
      <c r="F79" s="3">
        <v>15000</v>
      </c>
      <c r="G79" s="3">
        <v>468000</v>
      </c>
      <c r="H79" s="3">
        <v>720000</v>
      </c>
      <c r="I79" s="3">
        <f t="shared" si="1"/>
        <v>267000</v>
      </c>
    </row>
    <row r="80" spans="1:9">
      <c r="A80" s="3" t="s">
        <v>93</v>
      </c>
      <c r="B80" s="3" t="s">
        <v>17</v>
      </c>
      <c r="C80" s="3" t="s">
        <v>22</v>
      </c>
      <c r="D80" s="3" t="s">
        <v>12</v>
      </c>
      <c r="E80" s="3">
        <v>11</v>
      </c>
      <c r="F80" s="3">
        <v>800</v>
      </c>
      <c r="G80" s="3">
        <v>4400</v>
      </c>
      <c r="H80" s="3">
        <v>8800</v>
      </c>
      <c r="I80" s="3">
        <f t="shared" si="1"/>
        <v>5200</v>
      </c>
    </row>
    <row r="81" spans="1:9">
      <c r="A81" s="3" t="s">
        <v>100</v>
      </c>
      <c r="B81" s="3" t="s">
        <v>10</v>
      </c>
      <c r="C81" s="3" t="s">
        <v>44</v>
      </c>
      <c r="D81" s="3" t="s">
        <v>18</v>
      </c>
      <c r="E81" s="3">
        <v>31</v>
      </c>
      <c r="F81" s="3">
        <v>55000</v>
      </c>
      <c r="G81" s="3">
        <v>1227600</v>
      </c>
      <c r="H81" s="3">
        <v>1705000</v>
      </c>
      <c r="I81" s="3">
        <f t="shared" si="1"/>
        <v>532400</v>
      </c>
    </row>
    <row r="82" spans="1:9">
      <c r="A82" s="3" t="s">
        <v>101</v>
      </c>
      <c r="B82" s="3" t="s">
        <v>20</v>
      </c>
      <c r="C82" s="3" t="s">
        <v>44</v>
      </c>
      <c r="D82" s="3" t="s">
        <v>27</v>
      </c>
      <c r="E82" s="3">
        <v>20</v>
      </c>
      <c r="F82" s="3">
        <v>2200</v>
      </c>
      <c r="G82" s="3">
        <v>25520</v>
      </c>
      <c r="H82" s="3">
        <v>44000</v>
      </c>
      <c r="I82" s="3">
        <f t="shared" si="1"/>
        <v>20680</v>
      </c>
    </row>
    <row r="83" spans="1:9">
      <c r="A83" s="3" t="s">
        <v>102</v>
      </c>
      <c r="B83" s="3" t="s">
        <v>20</v>
      </c>
      <c r="C83" s="3" t="s">
        <v>11</v>
      </c>
      <c r="D83" s="3" t="s">
        <v>60</v>
      </c>
      <c r="E83" s="3">
        <v>26</v>
      </c>
      <c r="F83" s="3">
        <v>1500</v>
      </c>
      <c r="G83" s="3">
        <v>21450</v>
      </c>
      <c r="H83" s="3">
        <v>39000</v>
      </c>
      <c r="I83" s="3">
        <f t="shared" si="1"/>
        <v>19050</v>
      </c>
    </row>
    <row r="84" spans="1:9">
      <c r="A84" s="3" t="s">
        <v>103</v>
      </c>
      <c r="B84" s="3" t="s">
        <v>30</v>
      </c>
      <c r="C84" s="3" t="s">
        <v>11</v>
      </c>
      <c r="D84" s="3" t="s">
        <v>12</v>
      </c>
      <c r="E84" s="3">
        <v>23</v>
      </c>
      <c r="F84" s="3">
        <v>800</v>
      </c>
      <c r="G84" s="3">
        <v>9200</v>
      </c>
      <c r="H84" s="3">
        <v>18400</v>
      </c>
      <c r="I84" s="3">
        <f t="shared" si="1"/>
        <v>10000</v>
      </c>
    </row>
    <row r="85" spans="1:9">
      <c r="A85" s="3" t="s">
        <v>104</v>
      </c>
      <c r="B85" s="3" t="s">
        <v>17</v>
      </c>
      <c r="C85" s="3" t="s">
        <v>36</v>
      </c>
      <c r="D85" s="3" t="s">
        <v>18</v>
      </c>
      <c r="E85" s="3">
        <v>8</v>
      </c>
      <c r="F85" s="3">
        <v>55000</v>
      </c>
      <c r="G85" s="3">
        <v>316800</v>
      </c>
      <c r="H85" s="3">
        <v>440000</v>
      </c>
      <c r="I85" s="3">
        <f t="shared" si="1"/>
        <v>178200</v>
      </c>
    </row>
    <row r="86" spans="1:9">
      <c r="A86" s="3" t="s">
        <v>105</v>
      </c>
      <c r="B86" s="3" t="s">
        <v>14</v>
      </c>
      <c r="C86" s="3" t="s">
        <v>36</v>
      </c>
      <c r="D86" s="3" t="s">
        <v>18</v>
      </c>
      <c r="E86" s="3">
        <v>7</v>
      </c>
      <c r="F86" s="3">
        <v>55000</v>
      </c>
      <c r="G86" s="3">
        <v>277200</v>
      </c>
      <c r="H86" s="3">
        <v>385000</v>
      </c>
      <c r="I86" s="3">
        <f t="shared" si="1"/>
        <v>162800</v>
      </c>
    </row>
    <row r="87" spans="1:9">
      <c r="A87" s="3" t="s">
        <v>53</v>
      </c>
      <c r="B87" s="3" t="s">
        <v>17</v>
      </c>
      <c r="C87" s="3" t="s">
        <v>36</v>
      </c>
      <c r="D87" s="3" t="s">
        <v>27</v>
      </c>
      <c r="E87" s="3">
        <v>28</v>
      </c>
      <c r="F87" s="3">
        <v>2200</v>
      </c>
      <c r="G87" s="3">
        <v>35728</v>
      </c>
      <c r="H87" s="3">
        <v>61600</v>
      </c>
      <c r="I87" s="3">
        <f t="shared" si="1"/>
        <v>28072</v>
      </c>
    </row>
    <row r="88" spans="1:9">
      <c r="A88" s="3" t="s">
        <v>106</v>
      </c>
      <c r="B88" s="3" t="s">
        <v>10</v>
      </c>
      <c r="C88" s="3" t="s">
        <v>44</v>
      </c>
      <c r="D88" s="3" t="s">
        <v>40</v>
      </c>
      <c r="E88" s="3">
        <v>13</v>
      </c>
      <c r="F88" s="3">
        <v>6000</v>
      </c>
      <c r="G88" s="3">
        <v>48360</v>
      </c>
      <c r="H88" s="3">
        <v>78000</v>
      </c>
      <c r="I88" s="3">
        <f t="shared" si="1"/>
        <v>35640</v>
      </c>
    </row>
    <row r="89" spans="1:9">
      <c r="A89" s="3" t="s">
        <v>107</v>
      </c>
      <c r="B89" s="3" t="s">
        <v>25</v>
      </c>
      <c r="C89" s="3" t="s">
        <v>44</v>
      </c>
      <c r="D89" s="3" t="s">
        <v>18</v>
      </c>
      <c r="E89" s="3">
        <v>34</v>
      </c>
      <c r="F89" s="3">
        <v>55000</v>
      </c>
      <c r="G89" s="3">
        <v>1346400</v>
      </c>
      <c r="H89" s="3">
        <v>1870000</v>
      </c>
      <c r="I89" s="3">
        <f t="shared" si="1"/>
        <v>578600</v>
      </c>
    </row>
    <row r="90" spans="1:9">
      <c r="A90" s="3" t="s">
        <v>108</v>
      </c>
      <c r="B90" s="3" t="s">
        <v>20</v>
      </c>
      <c r="C90" s="3" t="s">
        <v>36</v>
      </c>
      <c r="D90" s="3" t="s">
        <v>26</v>
      </c>
      <c r="E90" s="3">
        <v>5</v>
      </c>
      <c r="F90" s="3">
        <v>12000</v>
      </c>
      <c r="G90" s="3">
        <v>40800</v>
      </c>
      <c r="H90" s="3">
        <v>60000</v>
      </c>
      <c r="I90" s="3">
        <f t="shared" si="1"/>
        <v>31200</v>
      </c>
    </row>
    <row r="91" spans="1:9">
      <c r="A91" s="3" t="s">
        <v>109</v>
      </c>
      <c r="B91" s="3" t="s">
        <v>33</v>
      </c>
      <c r="C91" s="3" t="s">
        <v>36</v>
      </c>
      <c r="D91" s="3" t="s">
        <v>34</v>
      </c>
      <c r="E91" s="3">
        <v>47</v>
      </c>
      <c r="F91" s="3">
        <v>45000</v>
      </c>
      <c r="G91" s="3">
        <v>1480500</v>
      </c>
      <c r="H91" s="3">
        <v>2115000</v>
      </c>
      <c r="I91" s="3">
        <f t="shared" si="1"/>
        <v>679500</v>
      </c>
    </row>
    <row r="92" spans="1:9">
      <c r="A92" s="3" t="s">
        <v>110</v>
      </c>
      <c r="B92" s="3" t="s">
        <v>30</v>
      </c>
      <c r="C92" s="3" t="s">
        <v>44</v>
      </c>
      <c r="D92" s="3" t="s">
        <v>27</v>
      </c>
      <c r="E92" s="3">
        <v>26</v>
      </c>
      <c r="F92" s="3">
        <v>2200</v>
      </c>
      <c r="G92" s="3">
        <v>33176</v>
      </c>
      <c r="H92" s="3">
        <v>57200</v>
      </c>
      <c r="I92" s="3">
        <f t="shared" si="1"/>
        <v>26224</v>
      </c>
    </row>
    <row r="93" spans="1:9">
      <c r="A93" s="3" t="s">
        <v>111</v>
      </c>
      <c r="B93" s="3" t="s">
        <v>30</v>
      </c>
      <c r="C93" s="3" t="s">
        <v>22</v>
      </c>
      <c r="D93" s="3" t="s">
        <v>60</v>
      </c>
      <c r="E93" s="3">
        <v>27</v>
      </c>
      <c r="F93" s="3">
        <v>1500</v>
      </c>
      <c r="G93" s="3">
        <v>22275</v>
      </c>
      <c r="H93" s="3">
        <v>40500</v>
      </c>
      <c r="I93" s="3">
        <f t="shared" si="1"/>
        <v>19725</v>
      </c>
    </row>
    <row r="94" spans="1:9">
      <c r="A94" s="3" t="s">
        <v>109</v>
      </c>
      <c r="B94" s="3" t="s">
        <v>17</v>
      </c>
      <c r="C94" s="3" t="s">
        <v>22</v>
      </c>
      <c r="D94" s="3" t="s">
        <v>40</v>
      </c>
      <c r="E94" s="3">
        <v>37</v>
      </c>
      <c r="F94" s="3">
        <v>6000</v>
      </c>
      <c r="G94" s="3">
        <v>137640</v>
      </c>
      <c r="H94" s="3">
        <v>222000</v>
      </c>
      <c r="I94" s="3">
        <f t="shared" si="1"/>
        <v>90360</v>
      </c>
    </row>
    <row r="95" spans="1:9">
      <c r="A95" s="3" t="s">
        <v>89</v>
      </c>
      <c r="B95" s="3" t="s">
        <v>17</v>
      </c>
      <c r="C95" s="3" t="s">
        <v>11</v>
      </c>
      <c r="D95" s="3" t="s">
        <v>12</v>
      </c>
      <c r="E95" s="3">
        <v>19</v>
      </c>
      <c r="F95" s="3">
        <v>800</v>
      </c>
      <c r="G95" s="3">
        <v>7600</v>
      </c>
      <c r="H95" s="3">
        <v>15200</v>
      </c>
      <c r="I95" s="3">
        <f t="shared" si="1"/>
        <v>8400</v>
      </c>
    </row>
    <row r="96" spans="1:9">
      <c r="A96" s="3" t="s">
        <v>112</v>
      </c>
      <c r="B96" s="3" t="s">
        <v>17</v>
      </c>
      <c r="C96" s="3" t="s">
        <v>36</v>
      </c>
      <c r="D96" s="3" t="s">
        <v>23</v>
      </c>
      <c r="E96" s="3">
        <v>29</v>
      </c>
      <c r="F96" s="3">
        <v>25000</v>
      </c>
      <c r="G96" s="3">
        <v>507500</v>
      </c>
      <c r="H96" s="3">
        <v>725000</v>
      </c>
      <c r="I96" s="3">
        <f t="shared" si="1"/>
        <v>242500</v>
      </c>
    </row>
    <row r="97" spans="1:9">
      <c r="A97" s="3" t="s">
        <v>94</v>
      </c>
      <c r="B97" s="3" t="s">
        <v>20</v>
      </c>
      <c r="C97" s="3" t="s">
        <v>44</v>
      </c>
      <c r="D97" s="3" t="s">
        <v>51</v>
      </c>
      <c r="E97" s="3">
        <v>43</v>
      </c>
      <c r="F97" s="3">
        <v>15000</v>
      </c>
      <c r="G97" s="3">
        <v>419250</v>
      </c>
      <c r="H97" s="3">
        <v>645000</v>
      </c>
      <c r="I97" s="3">
        <f t="shared" si="1"/>
        <v>240750</v>
      </c>
    </row>
    <row r="98" spans="1:9">
      <c r="A98" s="3" t="s">
        <v>113</v>
      </c>
      <c r="B98" s="3" t="s">
        <v>30</v>
      </c>
      <c r="C98" s="3" t="s">
        <v>36</v>
      </c>
      <c r="D98" s="3" t="s">
        <v>34</v>
      </c>
      <c r="E98" s="3">
        <v>49</v>
      </c>
      <c r="F98" s="3">
        <v>45000</v>
      </c>
      <c r="G98" s="3">
        <v>1543500</v>
      </c>
      <c r="H98" s="3">
        <v>2205000</v>
      </c>
      <c r="I98" s="3">
        <f t="shared" si="1"/>
        <v>706500</v>
      </c>
    </row>
    <row r="99" spans="1:9">
      <c r="A99" s="3" t="s">
        <v>114</v>
      </c>
      <c r="B99" s="3" t="s">
        <v>30</v>
      </c>
      <c r="C99" s="3" t="s">
        <v>22</v>
      </c>
      <c r="D99" s="3" t="s">
        <v>60</v>
      </c>
      <c r="E99" s="3">
        <v>10</v>
      </c>
      <c r="F99" s="3">
        <v>1500</v>
      </c>
      <c r="G99" s="3">
        <v>8250</v>
      </c>
      <c r="H99" s="3">
        <v>15000</v>
      </c>
      <c r="I99" s="3">
        <f t="shared" si="1"/>
        <v>8250</v>
      </c>
    </row>
    <row r="100" spans="1:9">
      <c r="A100" s="3" t="s">
        <v>115</v>
      </c>
      <c r="B100" s="3" t="s">
        <v>25</v>
      </c>
      <c r="C100" s="3" t="s">
        <v>22</v>
      </c>
      <c r="D100" s="3" t="s">
        <v>23</v>
      </c>
      <c r="E100" s="3">
        <v>40</v>
      </c>
      <c r="F100" s="3">
        <v>25000</v>
      </c>
      <c r="G100" s="3">
        <v>700000</v>
      </c>
      <c r="H100" s="3">
        <v>1000000</v>
      </c>
      <c r="I100" s="3">
        <f t="shared" si="1"/>
        <v>325000</v>
      </c>
    </row>
    <row r="101" spans="1:9">
      <c r="A101" s="3" t="s">
        <v>86</v>
      </c>
      <c r="B101" s="3" t="s">
        <v>47</v>
      </c>
      <c r="C101" s="3" t="s">
        <v>44</v>
      </c>
      <c r="D101" s="3" t="s">
        <v>40</v>
      </c>
      <c r="E101" s="3">
        <v>13</v>
      </c>
      <c r="F101" s="3">
        <v>6000</v>
      </c>
      <c r="G101" s="3">
        <v>48360</v>
      </c>
      <c r="H101" s="3">
        <v>78000</v>
      </c>
      <c r="I101" s="3">
        <f t="shared" si="1"/>
        <v>35640</v>
      </c>
    </row>
    <row r="102" spans="1:9">
      <c r="A102" s="3" t="s">
        <v>111</v>
      </c>
      <c r="B102" s="3" t="s">
        <v>17</v>
      </c>
      <c r="C102" s="3" t="s">
        <v>44</v>
      </c>
      <c r="D102" s="3" t="s">
        <v>26</v>
      </c>
      <c r="E102" s="3">
        <v>16</v>
      </c>
      <c r="F102" s="3">
        <v>12000</v>
      </c>
      <c r="G102" s="3">
        <v>130560</v>
      </c>
      <c r="H102" s="3">
        <v>192000</v>
      </c>
      <c r="I102" s="3">
        <f t="shared" si="1"/>
        <v>73440</v>
      </c>
    </row>
    <row r="103" spans="1:9">
      <c r="A103" s="3" t="s">
        <v>116</v>
      </c>
      <c r="B103" s="3" t="s">
        <v>25</v>
      </c>
      <c r="C103" s="3" t="s">
        <v>11</v>
      </c>
      <c r="D103" s="3" t="s">
        <v>26</v>
      </c>
      <c r="E103" s="3">
        <v>15</v>
      </c>
      <c r="F103" s="3">
        <v>12000</v>
      </c>
      <c r="G103" s="3">
        <v>122400</v>
      </c>
      <c r="H103" s="3">
        <v>180000</v>
      </c>
      <c r="I103" s="3">
        <f t="shared" si="1"/>
        <v>69600</v>
      </c>
    </row>
    <row r="104" spans="1:9">
      <c r="A104" s="3" t="s">
        <v>99</v>
      </c>
      <c r="B104" s="3" t="s">
        <v>47</v>
      </c>
      <c r="C104" s="3" t="s">
        <v>11</v>
      </c>
      <c r="D104" s="3" t="s">
        <v>15</v>
      </c>
      <c r="E104" s="3">
        <v>16</v>
      </c>
      <c r="F104" s="3">
        <v>3500</v>
      </c>
      <c r="G104" s="3">
        <v>33600</v>
      </c>
      <c r="H104" s="3">
        <v>56000</v>
      </c>
      <c r="I104" s="3">
        <f t="shared" si="1"/>
        <v>25900</v>
      </c>
    </row>
    <row r="105" spans="1:9">
      <c r="A105" s="3" t="s">
        <v>117</v>
      </c>
      <c r="B105" s="3" t="s">
        <v>47</v>
      </c>
      <c r="C105" s="3" t="s">
        <v>22</v>
      </c>
      <c r="D105" s="3" t="s">
        <v>23</v>
      </c>
      <c r="E105" s="3">
        <v>43</v>
      </c>
      <c r="F105" s="3">
        <v>25000</v>
      </c>
      <c r="G105" s="3">
        <v>752500</v>
      </c>
      <c r="H105" s="3">
        <v>1075000</v>
      </c>
      <c r="I105" s="3">
        <f t="shared" si="1"/>
        <v>347500</v>
      </c>
    </row>
    <row r="106" spans="1:9">
      <c r="A106" s="3" t="s">
        <v>118</v>
      </c>
      <c r="B106" s="3" t="s">
        <v>33</v>
      </c>
      <c r="C106" s="3" t="s">
        <v>44</v>
      </c>
      <c r="D106" s="3" t="s">
        <v>40</v>
      </c>
      <c r="E106" s="3">
        <v>47</v>
      </c>
      <c r="F106" s="3">
        <v>6000</v>
      </c>
      <c r="G106" s="3">
        <v>174840</v>
      </c>
      <c r="H106" s="3">
        <v>282000</v>
      </c>
      <c r="I106" s="3">
        <f t="shared" si="1"/>
        <v>113160</v>
      </c>
    </row>
    <row r="107" spans="1:9">
      <c r="A107" s="3" t="s">
        <v>119</v>
      </c>
      <c r="B107" s="3" t="s">
        <v>17</v>
      </c>
      <c r="C107" s="3" t="s">
        <v>44</v>
      </c>
      <c r="D107" s="3" t="s">
        <v>51</v>
      </c>
      <c r="E107" s="3">
        <v>48</v>
      </c>
      <c r="F107" s="3">
        <v>15000</v>
      </c>
      <c r="G107" s="3">
        <v>468000</v>
      </c>
      <c r="H107" s="3">
        <v>720000</v>
      </c>
      <c r="I107" s="3">
        <f t="shared" si="1"/>
        <v>267000</v>
      </c>
    </row>
    <row r="108" spans="1:9">
      <c r="A108" s="3" t="s">
        <v>120</v>
      </c>
      <c r="B108" s="3" t="s">
        <v>47</v>
      </c>
      <c r="C108" s="3" t="s">
        <v>36</v>
      </c>
      <c r="D108" s="3" t="s">
        <v>60</v>
      </c>
      <c r="E108" s="3">
        <v>41</v>
      </c>
      <c r="F108" s="3">
        <v>1500</v>
      </c>
      <c r="G108" s="3">
        <v>33825</v>
      </c>
      <c r="H108" s="3">
        <v>61500</v>
      </c>
      <c r="I108" s="3">
        <f t="shared" si="1"/>
        <v>29175</v>
      </c>
    </row>
    <row r="109" spans="1:9">
      <c r="A109" s="3" t="s">
        <v>121</v>
      </c>
      <c r="B109" s="3" t="s">
        <v>47</v>
      </c>
      <c r="C109" s="3" t="s">
        <v>22</v>
      </c>
      <c r="D109" s="3" t="s">
        <v>12</v>
      </c>
      <c r="E109" s="3">
        <v>29</v>
      </c>
      <c r="F109" s="3">
        <v>800</v>
      </c>
      <c r="G109" s="3">
        <v>11600</v>
      </c>
      <c r="H109" s="3">
        <v>23200</v>
      </c>
      <c r="I109" s="3">
        <f t="shared" si="1"/>
        <v>12400</v>
      </c>
    </row>
    <row r="110" spans="1:9">
      <c r="A110" s="3" t="s">
        <v>122</v>
      </c>
      <c r="B110" s="3" t="s">
        <v>30</v>
      </c>
      <c r="C110" s="3" t="s">
        <v>22</v>
      </c>
      <c r="D110" s="3" t="s">
        <v>12</v>
      </c>
      <c r="E110" s="3">
        <v>22</v>
      </c>
      <c r="F110" s="3">
        <v>800</v>
      </c>
      <c r="G110" s="3">
        <v>8800</v>
      </c>
      <c r="H110" s="3">
        <v>17600</v>
      </c>
      <c r="I110" s="3">
        <f t="shared" si="1"/>
        <v>9600</v>
      </c>
    </row>
    <row r="111" spans="1:9">
      <c r="A111" s="3" t="s">
        <v>123</v>
      </c>
      <c r="B111" s="3" t="s">
        <v>10</v>
      </c>
      <c r="C111" s="3" t="s">
        <v>22</v>
      </c>
      <c r="D111" s="3" t="s">
        <v>51</v>
      </c>
      <c r="E111" s="3">
        <v>15</v>
      </c>
      <c r="F111" s="3">
        <v>15000</v>
      </c>
      <c r="G111" s="3">
        <v>146250</v>
      </c>
      <c r="H111" s="3">
        <v>225000</v>
      </c>
      <c r="I111" s="3">
        <f t="shared" si="1"/>
        <v>93750</v>
      </c>
    </row>
    <row r="112" spans="1:9">
      <c r="A112" s="3" t="s">
        <v>124</v>
      </c>
      <c r="B112" s="3" t="s">
        <v>14</v>
      </c>
      <c r="C112" s="3" t="s">
        <v>22</v>
      </c>
      <c r="D112" s="3" t="s">
        <v>34</v>
      </c>
      <c r="E112" s="3">
        <v>27</v>
      </c>
      <c r="F112" s="3">
        <v>45000</v>
      </c>
      <c r="G112" s="3">
        <v>850500</v>
      </c>
      <c r="H112" s="3">
        <v>1215000</v>
      </c>
      <c r="I112" s="3">
        <f t="shared" si="1"/>
        <v>409500</v>
      </c>
    </row>
    <row r="113" spans="1:9">
      <c r="A113" s="3" t="s">
        <v>125</v>
      </c>
      <c r="B113" s="3" t="s">
        <v>33</v>
      </c>
      <c r="C113" s="3" t="s">
        <v>44</v>
      </c>
      <c r="D113" s="3" t="s">
        <v>26</v>
      </c>
      <c r="E113" s="3">
        <v>4</v>
      </c>
      <c r="F113" s="3">
        <v>12000</v>
      </c>
      <c r="G113" s="3">
        <v>32640</v>
      </c>
      <c r="H113" s="3">
        <v>48000</v>
      </c>
      <c r="I113" s="3">
        <f t="shared" si="1"/>
        <v>27360</v>
      </c>
    </row>
    <row r="114" spans="1:9">
      <c r="A114" s="3" t="s">
        <v>126</v>
      </c>
      <c r="B114" s="3" t="s">
        <v>17</v>
      </c>
      <c r="C114" s="3" t="s">
        <v>44</v>
      </c>
      <c r="D114" s="3" t="s">
        <v>40</v>
      </c>
      <c r="E114" s="3">
        <v>45</v>
      </c>
      <c r="F114" s="3">
        <v>6000</v>
      </c>
      <c r="G114" s="3">
        <v>167400</v>
      </c>
      <c r="H114" s="3">
        <v>270000</v>
      </c>
      <c r="I114" s="3">
        <f t="shared" si="1"/>
        <v>108600</v>
      </c>
    </row>
    <row r="115" spans="1:9">
      <c r="A115" s="3" t="s">
        <v>66</v>
      </c>
      <c r="B115" s="3" t="s">
        <v>17</v>
      </c>
      <c r="C115" s="3" t="s">
        <v>44</v>
      </c>
      <c r="D115" s="3" t="s">
        <v>18</v>
      </c>
      <c r="E115" s="3">
        <v>23</v>
      </c>
      <c r="F115" s="3">
        <v>55000</v>
      </c>
      <c r="G115" s="3">
        <v>910800</v>
      </c>
      <c r="H115" s="3">
        <v>1265000</v>
      </c>
      <c r="I115" s="3">
        <f t="shared" si="1"/>
        <v>409200</v>
      </c>
    </row>
    <row r="116" spans="1:9">
      <c r="A116" s="3" t="s">
        <v>127</v>
      </c>
      <c r="B116" s="3" t="s">
        <v>17</v>
      </c>
      <c r="C116" s="3" t="s">
        <v>44</v>
      </c>
      <c r="D116" s="3" t="s">
        <v>15</v>
      </c>
      <c r="E116" s="3">
        <v>48</v>
      </c>
      <c r="F116" s="3">
        <v>3500</v>
      </c>
      <c r="G116" s="3">
        <v>100800</v>
      </c>
      <c r="H116" s="3">
        <v>168000</v>
      </c>
      <c r="I116" s="3">
        <f t="shared" si="1"/>
        <v>70700</v>
      </c>
    </row>
    <row r="117" spans="1:9">
      <c r="A117" s="3" t="s">
        <v>128</v>
      </c>
      <c r="B117" s="3" t="s">
        <v>20</v>
      </c>
      <c r="C117" s="3" t="s">
        <v>44</v>
      </c>
      <c r="D117" s="3" t="s">
        <v>60</v>
      </c>
      <c r="E117" s="3">
        <v>18</v>
      </c>
      <c r="F117" s="3">
        <v>1500</v>
      </c>
      <c r="G117" s="3">
        <v>14850</v>
      </c>
      <c r="H117" s="3">
        <v>27000</v>
      </c>
      <c r="I117" s="3">
        <f t="shared" si="1"/>
        <v>13650</v>
      </c>
    </row>
    <row r="118" spans="1:9">
      <c r="A118" s="3" t="s">
        <v>129</v>
      </c>
      <c r="B118" s="3" t="s">
        <v>47</v>
      </c>
      <c r="C118" s="3" t="s">
        <v>11</v>
      </c>
      <c r="D118" s="3" t="s">
        <v>26</v>
      </c>
      <c r="E118" s="3">
        <v>22</v>
      </c>
      <c r="F118" s="3">
        <v>12000</v>
      </c>
      <c r="G118" s="3">
        <v>179520</v>
      </c>
      <c r="H118" s="3">
        <v>264000</v>
      </c>
      <c r="I118" s="3">
        <f t="shared" si="1"/>
        <v>96480</v>
      </c>
    </row>
    <row r="119" spans="1:9">
      <c r="A119" s="3" t="s">
        <v>130</v>
      </c>
      <c r="B119" s="3" t="s">
        <v>17</v>
      </c>
      <c r="C119" s="3" t="s">
        <v>22</v>
      </c>
      <c r="D119" s="3" t="s">
        <v>23</v>
      </c>
      <c r="E119" s="3">
        <v>9</v>
      </c>
      <c r="F119" s="3">
        <v>25000</v>
      </c>
      <c r="G119" s="3">
        <v>157500</v>
      </c>
      <c r="H119" s="3">
        <v>225000</v>
      </c>
      <c r="I119" s="3">
        <f t="shared" si="1"/>
        <v>92500</v>
      </c>
    </row>
    <row r="120" spans="1:9">
      <c r="A120" s="3" t="s">
        <v>131</v>
      </c>
      <c r="B120" s="3" t="s">
        <v>25</v>
      </c>
      <c r="C120" s="3" t="s">
        <v>44</v>
      </c>
      <c r="D120" s="3" t="s">
        <v>40</v>
      </c>
      <c r="E120" s="3">
        <v>37</v>
      </c>
      <c r="F120" s="3">
        <v>6000</v>
      </c>
      <c r="G120" s="3">
        <v>137640</v>
      </c>
      <c r="H120" s="3">
        <v>222000</v>
      </c>
      <c r="I120" s="3">
        <f t="shared" si="1"/>
        <v>90360</v>
      </c>
    </row>
    <row r="121" spans="1:9">
      <c r="A121" s="3" t="s">
        <v>132</v>
      </c>
      <c r="B121" s="3" t="s">
        <v>25</v>
      </c>
      <c r="C121" s="3" t="s">
        <v>11</v>
      </c>
      <c r="D121" s="3" t="s">
        <v>26</v>
      </c>
      <c r="E121" s="3">
        <v>9</v>
      </c>
      <c r="F121" s="3">
        <v>12000</v>
      </c>
      <c r="G121" s="3">
        <v>73440</v>
      </c>
      <c r="H121" s="3">
        <v>108000</v>
      </c>
      <c r="I121" s="3">
        <f t="shared" si="1"/>
        <v>46560</v>
      </c>
    </row>
    <row r="122" spans="1:9">
      <c r="A122" s="3" t="s">
        <v>133</v>
      </c>
      <c r="B122" s="3" t="s">
        <v>14</v>
      </c>
      <c r="C122" s="3" t="s">
        <v>11</v>
      </c>
      <c r="D122" s="3" t="s">
        <v>12</v>
      </c>
      <c r="E122" s="3">
        <v>25</v>
      </c>
      <c r="F122" s="3">
        <v>800</v>
      </c>
      <c r="G122" s="3">
        <v>10000</v>
      </c>
      <c r="H122" s="3">
        <v>20000</v>
      </c>
      <c r="I122" s="3">
        <f t="shared" si="1"/>
        <v>10800</v>
      </c>
    </row>
    <row r="123" spans="1:9">
      <c r="A123" s="3" t="s">
        <v>134</v>
      </c>
      <c r="B123" s="3" t="s">
        <v>20</v>
      </c>
      <c r="C123" s="3" t="s">
        <v>44</v>
      </c>
      <c r="D123" s="3" t="s">
        <v>27</v>
      </c>
      <c r="E123" s="3">
        <v>22</v>
      </c>
      <c r="F123" s="3">
        <v>2200</v>
      </c>
      <c r="G123" s="3">
        <v>28072</v>
      </c>
      <c r="H123" s="3">
        <v>48400</v>
      </c>
      <c r="I123" s="3">
        <f t="shared" si="1"/>
        <v>22528</v>
      </c>
    </row>
    <row r="124" spans="1:9">
      <c r="A124" s="3" t="s">
        <v>77</v>
      </c>
      <c r="B124" s="3" t="s">
        <v>30</v>
      </c>
      <c r="C124" s="3" t="s">
        <v>44</v>
      </c>
      <c r="D124" s="3" t="s">
        <v>12</v>
      </c>
      <c r="E124" s="3">
        <v>6</v>
      </c>
      <c r="F124" s="3">
        <v>800</v>
      </c>
      <c r="G124" s="3">
        <v>2400</v>
      </c>
      <c r="H124" s="3">
        <v>4800</v>
      </c>
      <c r="I124" s="3">
        <f t="shared" si="1"/>
        <v>3200</v>
      </c>
    </row>
    <row r="125" spans="1:9">
      <c r="A125" s="3" t="s">
        <v>135</v>
      </c>
      <c r="B125" s="3" t="s">
        <v>25</v>
      </c>
      <c r="C125" s="3" t="s">
        <v>11</v>
      </c>
      <c r="D125" s="3" t="s">
        <v>27</v>
      </c>
      <c r="E125" s="3">
        <v>15</v>
      </c>
      <c r="F125" s="3">
        <v>2200</v>
      </c>
      <c r="G125" s="3">
        <v>19140</v>
      </c>
      <c r="H125" s="3">
        <v>33000</v>
      </c>
      <c r="I125" s="3">
        <f t="shared" si="1"/>
        <v>16060</v>
      </c>
    </row>
    <row r="126" spans="1:9">
      <c r="A126" s="3" t="s">
        <v>21</v>
      </c>
      <c r="B126" s="3" t="s">
        <v>10</v>
      </c>
      <c r="C126" s="3" t="s">
        <v>11</v>
      </c>
      <c r="D126" s="3" t="s">
        <v>18</v>
      </c>
      <c r="E126" s="3">
        <v>16</v>
      </c>
      <c r="F126" s="3">
        <v>55000</v>
      </c>
      <c r="G126" s="3">
        <v>633600</v>
      </c>
      <c r="H126" s="3">
        <v>880000</v>
      </c>
      <c r="I126" s="3">
        <f t="shared" si="1"/>
        <v>301400</v>
      </c>
    </row>
    <row r="127" spans="1:9">
      <c r="A127" s="3" t="s">
        <v>136</v>
      </c>
      <c r="B127" s="3" t="s">
        <v>25</v>
      </c>
      <c r="C127" s="3" t="s">
        <v>22</v>
      </c>
      <c r="D127" s="3" t="s">
        <v>60</v>
      </c>
      <c r="E127" s="3">
        <v>9</v>
      </c>
      <c r="F127" s="3">
        <v>1500</v>
      </c>
      <c r="G127" s="3">
        <v>7425</v>
      </c>
      <c r="H127" s="3">
        <v>13500</v>
      </c>
      <c r="I127" s="3">
        <f t="shared" si="1"/>
        <v>7575</v>
      </c>
    </row>
    <row r="128" spans="1:9">
      <c r="A128" s="3" t="s">
        <v>70</v>
      </c>
      <c r="B128" s="3" t="s">
        <v>10</v>
      </c>
      <c r="C128" s="3" t="s">
        <v>22</v>
      </c>
      <c r="D128" s="3" t="s">
        <v>23</v>
      </c>
      <c r="E128" s="3">
        <v>45</v>
      </c>
      <c r="F128" s="3">
        <v>25000</v>
      </c>
      <c r="G128" s="3">
        <v>787500</v>
      </c>
      <c r="H128" s="3">
        <v>1125000</v>
      </c>
      <c r="I128" s="3">
        <f t="shared" si="1"/>
        <v>362500</v>
      </c>
    </row>
    <row r="129" spans="1:9">
      <c r="A129" s="3" t="s">
        <v>137</v>
      </c>
      <c r="B129" s="3" t="s">
        <v>33</v>
      </c>
      <c r="C129" s="3" t="s">
        <v>22</v>
      </c>
      <c r="D129" s="3" t="s">
        <v>40</v>
      </c>
      <c r="E129" s="3">
        <v>39</v>
      </c>
      <c r="F129" s="3">
        <v>6000</v>
      </c>
      <c r="G129" s="3">
        <v>145080</v>
      </c>
      <c r="H129" s="3">
        <v>234000</v>
      </c>
      <c r="I129" s="3">
        <f t="shared" si="1"/>
        <v>94920</v>
      </c>
    </row>
    <row r="130" spans="1:9">
      <c r="A130" s="3" t="s">
        <v>138</v>
      </c>
      <c r="B130" s="3" t="s">
        <v>14</v>
      </c>
      <c r="C130" s="3" t="s">
        <v>36</v>
      </c>
      <c r="D130" s="3" t="s">
        <v>34</v>
      </c>
      <c r="E130" s="3">
        <v>38</v>
      </c>
      <c r="F130" s="3">
        <v>45000</v>
      </c>
      <c r="G130" s="3">
        <v>1197000</v>
      </c>
      <c r="H130" s="3">
        <v>1710000</v>
      </c>
      <c r="I130" s="3">
        <f t="shared" si="1"/>
        <v>558000</v>
      </c>
    </row>
    <row r="131" spans="1:9">
      <c r="A131" s="3" t="s">
        <v>139</v>
      </c>
      <c r="B131" s="3" t="s">
        <v>30</v>
      </c>
      <c r="C131" s="3" t="s">
        <v>44</v>
      </c>
      <c r="D131" s="3" t="s">
        <v>26</v>
      </c>
      <c r="E131" s="3">
        <v>46</v>
      </c>
      <c r="F131" s="3">
        <v>12000</v>
      </c>
      <c r="G131" s="3">
        <v>375360</v>
      </c>
      <c r="H131" s="3">
        <v>552000</v>
      </c>
      <c r="I131" s="3">
        <f t="shared" ref="I131:I194" si="2">H131-(G131-F131)</f>
        <v>188640</v>
      </c>
    </row>
    <row r="132" spans="1:9">
      <c r="A132" s="3" t="s">
        <v>140</v>
      </c>
      <c r="B132" s="3" t="s">
        <v>10</v>
      </c>
      <c r="C132" s="3" t="s">
        <v>22</v>
      </c>
      <c r="D132" s="3" t="s">
        <v>34</v>
      </c>
      <c r="E132" s="3">
        <v>45</v>
      </c>
      <c r="F132" s="3">
        <v>45000</v>
      </c>
      <c r="G132" s="3">
        <v>1417500</v>
      </c>
      <c r="H132" s="3">
        <v>2025000</v>
      </c>
      <c r="I132" s="3">
        <f t="shared" si="2"/>
        <v>652500</v>
      </c>
    </row>
    <row r="133" spans="1:9">
      <c r="A133" s="3" t="s">
        <v>89</v>
      </c>
      <c r="B133" s="3" t="s">
        <v>10</v>
      </c>
      <c r="C133" s="3" t="s">
        <v>11</v>
      </c>
      <c r="D133" s="3" t="s">
        <v>27</v>
      </c>
      <c r="E133" s="3">
        <v>35</v>
      </c>
      <c r="F133" s="3">
        <v>2200</v>
      </c>
      <c r="G133" s="3">
        <v>44660</v>
      </c>
      <c r="H133" s="3">
        <v>77000</v>
      </c>
      <c r="I133" s="3">
        <f t="shared" si="2"/>
        <v>34540</v>
      </c>
    </row>
    <row r="134" spans="1:9">
      <c r="A134" s="3" t="s">
        <v>141</v>
      </c>
      <c r="B134" s="3" t="s">
        <v>33</v>
      </c>
      <c r="C134" s="3" t="s">
        <v>11</v>
      </c>
      <c r="D134" s="3" t="s">
        <v>15</v>
      </c>
      <c r="E134" s="3">
        <v>42</v>
      </c>
      <c r="F134" s="3">
        <v>3500</v>
      </c>
      <c r="G134" s="3">
        <v>88200</v>
      </c>
      <c r="H134" s="3">
        <v>147000</v>
      </c>
      <c r="I134" s="3">
        <f t="shared" si="2"/>
        <v>62300</v>
      </c>
    </row>
    <row r="135" spans="1:9">
      <c r="A135" s="3" t="s">
        <v>142</v>
      </c>
      <c r="B135" s="3" t="s">
        <v>25</v>
      </c>
      <c r="C135" s="3" t="s">
        <v>44</v>
      </c>
      <c r="D135" s="3" t="s">
        <v>23</v>
      </c>
      <c r="E135" s="3">
        <v>7</v>
      </c>
      <c r="F135" s="3">
        <v>25000</v>
      </c>
      <c r="G135" s="3">
        <v>122500</v>
      </c>
      <c r="H135" s="3">
        <v>175000</v>
      </c>
      <c r="I135" s="3">
        <f t="shared" si="2"/>
        <v>77500</v>
      </c>
    </row>
    <row r="136" spans="1:9">
      <c r="A136" s="3" t="s">
        <v>143</v>
      </c>
      <c r="B136" s="3" t="s">
        <v>33</v>
      </c>
      <c r="C136" s="3" t="s">
        <v>44</v>
      </c>
      <c r="D136" s="3" t="s">
        <v>51</v>
      </c>
      <c r="E136" s="3">
        <v>28</v>
      </c>
      <c r="F136" s="3">
        <v>15000</v>
      </c>
      <c r="G136" s="3">
        <v>273000</v>
      </c>
      <c r="H136" s="3">
        <v>420000</v>
      </c>
      <c r="I136" s="3">
        <f t="shared" si="2"/>
        <v>162000</v>
      </c>
    </row>
    <row r="137" spans="1:9">
      <c r="A137" s="3" t="s">
        <v>99</v>
      </c>
      <c r="B137" s="3" t="s">
        <v>30</v>
      </c>
      <c r="C137" s="3" t="s">
        <v>44</v>
      </c>
      <c r="D137" s="3" t="s">
        <v>23</v>
      </c>
      <c r="E137" s="3">
        <v>28</v>
      </c>
      <c r="F137" s="3">
        <v>25000</v>
      </c>
      <c r="G137" s="3">
        <v>490000</v>
      </c>
      <c r="H137" s="3">
        <v>700000</v>
      </c>
      <c r="I137" s="3">
        <f t="shared" si="2"/>
        <v>235000</v>
      </c>
    </row>
    <row r="138" spans="1:9">
      <c r="A138" s="3" t="s">
        <v>144</v>
      </c>
      <c r="B138" s="3" t="s">
        <v>30</v>
      </c>
      <c r="C138" s="3" t="s">
        <v>36</v>
      </c>
      <c r="D138" s="3" t="s">
        <v>60</v>
      </c>
      <c r="E138" s="3">
        <v>6</v>
      </c>
      <c r="F138" s="3">
        <v>1500</v>
      </c>
      <c r="G138" s="3">
        <v>4950</v>
      </c>
      <c r="H138" s="3">
        <v>9000</v>
      </c>
      <c r="I138" s="3">
        <f t="shared" si="2"/>
        <v>5550</v>
      </c>
    </row>
    <row r="139" spans="1:9">
      <c r="A139" s="3" t="s">
        <v>24</v>
      </c>
      <c r="B139" s="3" t="s">
        <v>47</v>
      </c>
      <c r="C139" s="3" t="s">
        <v>22</v>
      </c>
      <c r="D139" s="3" t="s">
        <v>23</v>
      </c>
      <c r="E139" s="3">
        <v>37</v>
      </c>
      <c r="F139" s="3">
        <v>25000</v>
      </c>
      <c r="G139" s="3">
        <v>647500</v>
      </c>
      <c r="H139" s="3">
        <v>925000</v>
      </c>
      <c r="I139" s="3">
        <f t="shared" si="2"/>
        <v>302500</v>
      </c>
    </row>
    <row r="140" spans="1:9">
      <c r="A140" s="3" t="s">
        <v>145</v>
      </c>
      <c r="B140" s="3" t="s">
        <v>17</v>
      </c>
      <c r="C140" s="3" t="s">
        <v>36</v>
      </c>
      <c r="D140" s="3" t="s">
        <v>18</v>
      </c>
      <c r="E140" s="3">
        <v>32</v>
      </c>
      <c r="F140" s="3">
        <v>55000</v>
      </c>
      <c r="G140" s="3">
        <v>1267200</v>
      </c>
      <c r="H140" s="3">
        <v>1760000</v>
      </c>
      <c r="I140" s="3">
        <f t="shared" si="2"/>
        <v>547800</v>
      </c>
    </row>
    <row r="141" spans="1:9">
      <c r="A141" s="3" t="s">
        <v>146</v>
      </c>
      <c r="B141" s="3" t="s">
        <v>14</v>
      </c>
      <c r="C141" s="3" t="s">
        <v>44</v>
      </c>
      <c r="D141" s="3" t="s">
        <v>60</v>
      </c>
      <c r="E141" s="3">
        <v>23</v>
      </c>
      <c r="F141" s="3">
        <v>1500</v>
      </c>
      <c r="G141" s="3">
        <v>18975</v>
      </c>
      <c r="H141" s="3">
        <v>34500</v>
      </c>
      <c r="I141" s="3">
        <f t="shared" si="2"/>
        <v>17025</v>
      </c>
    </row>
    <row r="142" spans="1:9">
      <c r="A142" s="3" t="s">
        <v>147</v>
      </c>
      <c r="B142" s="3" t="s">
        <v>33</v>
      </c>
      <c r="C142" s="3" t="s">
        <v>36</v>
      </c>
      <c r="D142" s="3" t="s">
        <v>40</v>
      </c>
      <c r="E142" s="3">
        <v>45</v>
      </c>
      <c r="F142" s="3">
        <v>6000</v>
      </c>
      <c r="G142" s="3">
        <v>167400</v>
      </c>
      <c r="H142" s="3">
        <v>270000</v>
      </c>
      <c r="I142" s="3">
        <f t="shared" si="2"/>
        <v>108600</v>
      </c>
    </row>
    <row r="143" spans="1:9">
      <c r="A143" s="3" t="s">
        <v>121</v>
      </c>
      <c r="B143" s="3" t="s">
        <v>25</v>
      </c>
      <c r="C143" s="3" t="s">
        <v>22</v>
      </c>
      <c r="D143" s="3" t="s">
        <v>34</v>
      </c>
      <c r="E143" s="3">
        <v>16</v>
      </c>
      <c r="F143" s="3">
        <v>45000</v>
      </c>
      <c r="G143" s="3">
        <v>504000</v>
      </c>
      <c r="H143" s="3">
        <v>720000</v>
      </c>
      <c r="I143" s="3">
        <f t="shared" si="2"/>
        <v>261000</v>
      </c>
    </row>
    <row r="144" spans="1:9">
      <c r="A144" s="3" t="s">
        <v>125</v>
      </c>
      <c r="B144" s="3" t="s">
        <v>47</v>
      </c>
      <c r="C144" s="3" t="s">
        <v>22</v>
      </c>
      <c r="D144" s="3" t="s">
        <v>23</v>
      </c>
      <c r="E144" s="3">
        <v>42</v>
      </c>
      <c r="F144" s="3">
        <v>25000</v>
      </c>
      <c r="G144" s="3">
        <v>735000</v>
      </c>
      <c r="H144" s="3">
        <v>1050000</v>
      </c>
      <c r="I144" s="3">
        <f t="shared" si="2"/>
        <v>340000</v>
      </c>
    </row>
    <row r="145" spans="1:9">
      <c r="A145" s="3" t="s">
        <v>148</v>
      </c>
      <c r="B145" s="3" t="s">
        <v>47</v>
      </c>
      <c r="C145" s="3" t="s">
        <v>44</v>
      </c>
      <c r="D145" s="3" t="s">
        <v>18</v>
      </c>
      <c r="E145" s="3">
        <v>6</v>
      </c>
      <c r="F145" s="3">
        <v>55000</v>
      </c>
      <c r="G145" s="3">
        <v>237600</v>
      </c>
      <c r="H145" s="3">
        <v>330000</v>
      </c>
      <c r="I145" s="3">
        <f t="shared" si="2"/>
        <v>147400</v>
      </c>
    </row>
    <row r="146" spans="1:9">
      <c r="A146" s="3" t="s">
        <v>55</v>
      </c>
      <c r="B146" s="3" t="s">
        <v>20</v>
      </c>
      <c r="C146" s="3" t="s">
        <v>44</v>
      </c>
      <c r="D146" s="3" t="s">
        <v>60</v>
      </c>
      <c r="E146" s="3">
        <v>20</v>
      </c>
      <c r="F146" s="3">
        <v>1500</v>
      </c>
      <c r="G146" s="3">
        <v>16500</v>
      </c>
      <c r="H146" s="3">
        <v>30000</v>
      </c>
      <c r="I146" s="3">
        <f t="shared" si="2"/>
        <v>15000</v>
      </c>
    </row>
    <row r="147" spans="1:9">
      <c r="A147" s="3" t="s">
        <v>132</v>
      </c>
      <c r="B147" s="3" t="s">
        <v>33</v>
      </c>
      <c r="C147" s="3" t="s">
        <v>44</v>
      </c>
      <c r="D147" s="3" t="s">
        <v>15</v>
      </c>
      <c r="E147" s="3">
        <v>34</v>
      </c>
      <c r="F147" s="3">
        <v>3500</v>
      </c>
      <c r="G147" s="3">
        <v>71400</v>
      </c>
      <c r="H147" s="3">
        <v>119000</v>
      </c>
      <c r="I147" s="3">
        <f t="shared" si="2"/>
        <v>51100</v>
      </c>
    </row>
    <row r="148" spans="1:9">
      <c r="A148" s="3" t="s">
        <v>149</v>
      </c>
      <c r="B148" s="3" t="s">
        <v>17</v>
      </c>
      <c r="C148" s="3" t="s">
        <v>36</v>
      </c>
      <c r="D148" s="3" t="s">
        <v>27</v>
      </c>
      <c r="E148" s="3">
        <v>45</v>
      </c>
      <c r="F148" s="3">
        <v>2200</v>
      </c>
      <c r="G148" s="3">
        <v>57420</v>
      </c>
      <c r="H148" s="3">
        <v>99000</v>
      </c>
      <c r="I148" s="3">
        <f t="shared" si="2"/>
        <v>43780</v>
      </c>
    </row>
    <row r="149" spans="1:9">
      <c r="A149" s="3" t="s">
        <v>150</v>
      </c>
      <c r="B149" s="3" t="s">
        <v>30</v>
      </c>
      <c r="C149" s="3" t="s">
        <v>36</v>
      </c>
      <c r="D149" s="3" t="s">
        <v>12</v>
      </c>
      <c r="E149" s="3">
        <v>15</v>
      </c>
      <c r="F149" s="3">
        <v>800</v>
      </c>
      <c r="G149" s="3">
        <v>6000</v>
      </c>
      <c r="H149" s="3">
        <v>12000</v>
      </c>
      <c r="I149" s="3">
        <f t="shared" si="2"/>
        <v>6800</v>
      </c>
    </row>
    <row r="150" spans="1:9">
      <c r="A150" s="3" t="s">
        <v>65</v>
      </c>
      <c r="B150" s="3" t="s">
        <v>20</v>
      </c>
      <c r="C150" s="3" t="s">
        <v>36</v>
      </c>
      <c r="D150" s="3" t="s">
        <v>34</v>
      </c>
      <c r="E150" s="3">
        <v>48</v>
      </c>
      <c r="F150" s="3">
        <v>45000</v>
      </c>
      <c r="G150" s="3">
        <v>1512000</v>
      </c>
      <c r="H150" s="3">
        <v>2160000</v>
      </c>
      <c r="I150" s="3">
        <f t="shared" si="2"/>
        <v>693000</v>
      </c>
    </row>
    <row r="151" spans="1:9">
      <c r="A151" s="3" t="s">
        <v>151</v>
      </c>
      <c r="B151" s="3" t="s">
        <v>14</v>
      </c>
      <c r="C151" s="3" t="s">
        <v>22</v>
      </c>
      <c r="D151" s="3" t="s">
        <v>60</v>
      </c>
      <c r="E151" s="3">
        <v>48</v>
      </c>
      <c r="F151" s="3">
        <v>1500</v>
      </c>
      <c r="G151" s="3">
        <v>39600</v>
      </c>
      <c r="H151" s="3">
        <v>72000</v>
      </c>
      <c r="I151" s="3">
        <f t="shared" si="2"/>
        <v>33900</v>
      </c>
    </row>
    <row r="152" spans="1:9">
      <c r="A152" s="3" t="s">
        <v>152</v>
      </c>
      <c r="B152" s="3" t="s">
        <v>30</v>
      </c>
      <c r="C152" s="3" t="s">
        <v>36</v>
      </c>
      <c r="D152" s="3" t="s">
        <v>34</v>
      </c>
      <c r="E152" s="3">
        <v>13</v>
      </c>
      <c r="F152" s="3">
        <v>45000</v>
      </c>
      <c r="G152" s="3">
        <v>409500</v>
      </c>
      <c r="H152" s="3">
        <v>585000</v>
      </c>
      <c r="I152" s="3">
        <f t="shared" si="2"/>
        <v>220500</v>
      </c>
    </row>
    <row r="153" spans="1:9">
      <c r="A153" s="3" t="s">
        <v>79</v>
      </c>
      <c r="B153" s="3" t="s">
        <v>20</v>
      </c>
      <c r="C153" s="3" t="s">
        <v>36</v>
      </c>
      <c r="D153" s="3" t="s">
        <v>51</v>
      </c>
      <c r="E153" s="3">
        <v>20</v>
      </c>
      <c r="F153" s="3">
        <v>15000</v>
      </c>
      <c r="G153" s="3">
        <v>195000</v>
      </c>
      <c r="H153" s="3">
        <v>300000</v>
      </c>
      <c r="I153" s="3">
        <f t="shared" si="2"/>
        <v>120000</v>
      </c>
    </row>
    <row r="154" spans="1:9">
      <c r="A154" s="3" t="s">
        <v>153</v>
      </c>
      <c r="B154" s="3" t="s">
        <v>14</v>
      </c>
      <c r="C154" s="3" t="s">
        <v>36</v>
      </c>
      <c r="D154" s="3" t="s">
        <v>18</v>
      </c>
      <c r="E154" s="3">
        <v>4</v>
      </c>
      <c r="F154" s="3">
        <v>55000</v>
      </c>
      <c r="G154" s="3">
        <v>158400</v>
      </c>
      <c r="H154" s="3">
        <v>220000</v>
      </c>
      <c r="I154" s="3">
        <f t="shared" si="2"/>
        <v>116600</v>
      </c>
    </row>
    <row r="155" spans="1:9">
      <c r="A155" s="3" t="s">
        <v>154</v>
      </c>
      <c r="B155" s="3" t="s">
        <v>30</v>
      </c>
      <c r="C155" s="3" t="s">
        <v>22</v>
      </c>
      <c r="D155" s="3" t="s">
        <v>23</v>
      </c>
      <c r="E155" s="3">
        <v>7</v>
      </c>
      <c r="F155" s="3">
        <v>25000</v>
      </c>
      <c r="G155" s="3">
        <v>122500</v>
      </c>
      <c r="H155" s="3">
        <v>175000</v>
      </c>
      <c r="I155" s="3">
        <f t="shared" si="2"/>
        <v>77500</v>
      </c>
    </row>
    <row r="156" spans="1:9">
      <c r="A156" s="3" t="s">
        <v>155</v>
      </c>
      <c r="B156" s="3" t="s">
        <v>30</v>
      </c>
      <c r="C156" s="3" t="s">
        <v>44</v>
      </c>
      <c r="D156" s="3" t="s">
        <v>23</v>
      </c>
      <c r="E156" s="3">
        <v>29</v>
      </c>
      <c r="F156" s="3">
        <v>25000</v>
      </c>
      <c r="G156" s="3">
        <v>507500</v>
      </c>
      <c r="H156" s="3">
        <v>725000</v>
      </c>
      <c r="I156" s="3">
        <f t="shared" si="2"/>
        <v>242500</v>
      </c>
    </row>
    <row r="157" spans="1:9">
      <c r="A157" s="3" t="s">
        <v>142</v>
      </c>
      <c r="B157" s="3" t="s">
        <v>14</v>
      </c>
      <c r="C157" s="3" t="s">
        <v>11</v>
      </c>
      <c r="D157" s="3" t="s">
        <v>12</v>
      </c>
      <c r="E157" s="3">
        <v>31</v>
      </c>
      <c r="F157" s="3">
        <v>800</v>
      </c>
      <c r="G157" s="3">
        <v>12400</v>
      </c>
      <c r="H157" s="3">
        <v>24800</v>
      </c>
      <c r="I157" s="3">
        <f t="shared" si="2"/>
        <v>13200</v>
      </c>
    </row>
    <row r="158" spans="1:9">
      <c r="A158" s="3" t="s">
        <v>138</v>
      </c>
      <c r="B158" s="3" t="s">
        <v>10</v>
      </c>
      <c r="C158" s="3" t="s">
        <v>44</v>
      </c>
      <c r="D158" s="3" t="s">
        <v>23</v>
      </c>
      <c r="E158" s="3">
        <v>5</v>
      </c>
      <c r="F158" s="3">
        <v>25000</v>
      </c>
      <c r="G158" s="3">
        <v>87500</v>
      </c>
      <c r="H158" s="3">
        <v>125000</v>
      </c>
      <c r="I158" s="3">
        <f t="shared" si="2"/>
        <v>62500</v>
      </c>
    </row>
    <row r="159" spans="1:9">
      <c r="A159" s="3" t="s">
        <v>156</v>
      </c>
      <c r="B159" s="3" t="s">
        <v>25</v>
      </c>
      <c r="C159" s="3" t="s">
        <v>22</v>
      </c>
      <c r="D159" s="3" t="s">
        <v>51</v>
      </c>
      <c r="E159" s="3">
        <v>37</v>
      </c>
      <c r="F159" s="3">
        <v>15000</v>
      </c>
      <c r="G159" s="3">
        <v>360750</v>
      </c>
      <c r="H159" s="3">
        <v>555000</v>
      </c>
      <c r="I159" s="3">
        <f t="shared" si="2"/>
        <v>209250</v>
      </c>
    </row>
    <row r="160" spans="1:9">
      <c r="A160" s="3" t="s">
        <v>157</v>
      </c>
      <c r="B160" s="3" t="s">
        <v>10</v>
      </c>
      <c r="C160" s="3" t="s">
        <v>22</v>
      </c>
      <c r="D160" s="3" t="s">
        <v>34</v>
      </c>
      <c r="E160" s="3">
        <v>36</v>
      </c>
      <c r="F160" s="3">
        <v>45000</v>
      </c>
      <c r="G160" s="3">
        <v>1134000</v>
      </c>
      <c r="H160" s="3">
        <v>1620000</v>
      </c>
      <c r="I160" s="3">
        <f t="shared" si="2"/>
        <v>531000</v>
      </c>
    </row>
    <row r="161" spans="1:9">
      <c r="A161" s="3" t="s">
        <v>158</v>
      </c>
      <c r="B161" s="3" t="s">
        <v>20</v>
      </c>
      <c r="C161" s="3" t="s">
        <v>44</v>
      </c>
      <c r="D161" s="3" t="s">
        <v>23</v>
      </c>
      <c r="E161" s="3">
        <v>29</v>
      </c>
      <c r="F161" s="3">
        <v>25000</v>
      </c>
      <c r="G161" s="3">
        <v>507500</v>
      </c>
      <c r="H161" s="3">
        <v>725000</v>
      </c>
      <c r="I161" s="3">
        <f t="shared" si="2"/>
        <v>242500</v>
      </c>
    </row>
    <row r="162" spans="1:9">
      <c r="A162" s="3" t="s">
        <v>127</v>
      </c>
      <c r="B162" s="3" t="s">
        <v>17</v>
      </c>
      <c r="C162" s="3" t="s">
        <v>36</v>
      </c>
      <c r="D162" s="3" t="s">
        <v>40</v>
      </c>
      <c r="E162" s="3">
        <v>40</v>
      </c>
      <c r="F162" s="3">
        <v>6000</v>
      </c>
      <c r="G162" s="3">
        <v>148800</v>
      </c>
      <c r="H162" s="3">
        <v>240000</v>
      </c>
      <c r="I162" s="3">
        <f t="shared" si="2"/>
        <v>97200</v>
      </c>
    </row>
    <row r="163" spans="1:9">
      <c r="A163" s="3" t="s">
        <v>159</v>
      </c>
      <c r="B163" s="3" t="s">
        <v>10</v>
      </c>
      <c r="C163" s="3" t="s">
        <v>22</v>
      </c>
      <c r="D163" s="3" t="s">
        <v>60</v>
      </c>
      <c r="E163" s="3">
        <v>17</v>
      </c>
      <c r="F163" s="3">
        <v>1500</v>
      </c>
      <c r="G163" s="3">
        <v>14025</v>
      </c>
      <c r="H163" s="3">
        <v>25500</v>
      </c>
      <c r="I163" s="3">
        <f t="shared" si="2"/>
        <v>12975</v>
      </c>
    </row>
    <row r="164" spans="1:9">
      <c r="A164" s="3" t="s">
        <v>35</v>
      </c>
      <c r="B164" s="3" t="s">
        <v>10</v>
      </c>
      <c r="C164" s="3" t="s">
        <v>22</v>
      </c>
      <c r="D164" s="3" t="s">
        <v>60</v>
      </c>
      <c r="E164" s="3">
        <v>12</v>
      </c>
      <c r="F164" s="3">
        <v>1500</v>
      </c>
      <c r="G164" s="3">
        <v>9900</v>
      </c>
      <c r="H164" s="3">
        <v>18000</v>
      </c>
      <c r="I164" s="3">
        <f t="shared" si="2"/>
        <v>9600</v>
      </c>
    </row>
    <row r="165" spans="1:9">
      <c r="A165" s="3" t="s">
        <v>95</v>
      </c>
      <c r="B165" s="3" t="s">
        <v>10</v>
      </c>
      <c r="C165" s="3" t="s">
        <v>22</v>
      </c>
      <c r="D165" s="3" t="s">
        <v>18</v>
      </c>
      <c r="E165" s="3">
        <v>27</v>
      </c>
      <c r="F165" s="3">
        <v>55000</v>
      </c>
      <c r="G165" s="3">
        <v>1069200</v>
      </c>
      <c r="H165" s="3">
        <v>1485000</v>
      </c>
      <c r="I165" s="3">
        <f t="shared" si="2"/>
        <v>470800</v>
      </c>
    </row>
    <row r="166" spans="1:9">
      <c r="A166" s="3" t="s">
        <v>160</v>
      </c>
      <c r="B166" s="3" t="s">
        <v>47</v>
      </c>
      <c r="C166" s="3" t="s">
        <v>36</v>
      </c>
      <c r="D166" s="3" t="s">
        <v>18</v>
      </c>
      <c r="E166" s="3">
        <v>15</v>
      </c>
      <c r="F166" s="3">
        <v>55000</v>
      </c>
      <c r="G166" s="3">
        <v>594000</v>
      </c>
      <c r="H166" s="3">
        <v>825000</v>
      </c>
      <c r="I166" s="3">
        <f t="shared" si="2"/>
        <v>286000</v>
      </c>
    </row>
    <row r="167" spans="1:9">
      <c r="A167" s="3" t="s">
        <v>161</v>
      </c>
      <c r="B167" s="3" t="s">
        <v>30</v>
      </c>
      <c r="C167" s="3" t="s">
        <v>44</v>
      </c>
      <c r="D167" s="3" t="s">
        <v>34</v>
      </c>
      <c r="E167" s="3">
        <v>44</v>
      </c>
      <c r="F167" s="3">
        <v>45000</v>
      </c>
      <c r="G167" s="3">
        <v>1386000</v>
      </c>
      <c r="H167" s="3">
        <v>1980000</v>
      </c>
      <c r="I167" s="3">
        <f t="shared" si="2"/>
        <v>639000</v>
      </c>
    </row>
    <row r="168" spans="1:9">
      <c r="A168" s="3" t="s">
        <v>162</v>
      </c>
      <c r="B168" s="3" t="s">
        <v>30</v>
      </c>
      <c r="C168" s="3" t="s">
        <v>22</v>
      </c>
      <c r="D168" s="3" t="s">
        <v>26</v>
      </c>
      <c r="E168" s="3">
        <v>8</v>
      </c>
      <c r="F168" s="3">
        <v>12000</v>
      </c>
      <c r="G168" s="3">
        <v>65280</v>
      </c>
      <c r="H168" s="3">
        <v>96000</v>
      </c>
      <c r="I168" s="3">
        <f t="shared" si="2"/>
        <v>42720</v>
      </c>
    </row>
    <row r="169" spans="1:9">
      <c r="A169" s="3" t="s">
        <v>163</v>
      </c>
      <c r="B169" s="3" t="s">
        <v>20</v>
      </c>
      <c r="C169" s="3" t="s">
        <v>22</v>
      </c>
      <c r="D169" s="3" t="s">
        <v>12</v>
      </c>
      <c r="E169" s="3">
        <v>10</v>
      </c>
      <c r="F169" s="3">
        <v>800</v>
      </c>
      <c r="G169" s="3">
        <v>4000</v>
      </c>
      <c r="H169" s="3">
        <v>8000</v>
      </c>
      <c r="I169" s="3">
        <f t="shared" si="2"/>
        <v>4800</v>
      </c>
    </row>
    <row r="170" spans="1:9">
      <c r="A170" s="3" t="s">
        <v>164</v>
      </c>
      <c r="B170" s="3" t="s">
        <v>25</v>
      </c>
      <c r="C170" s="3" t="s">
        <v>22</v>
      </c>
      <c r="D170" s="3" t="s">
        <v>12</v>
      </c>
      <c r="E170" s="3">
        <v>39</v>
      </c>
      <c r="F170" s="3">
        <v>800</v>
      </c>
      <c r="G170" s="3">
        <v>15600</v>
      </c>
      <c r="H170" s="3">
        <v>31200</v>
      </c>
      <c r="I170" s="3">
        <f t="shared" si="2"/>
        <v>16400</v>
      </c>
    </row>
    <row r="171" spans="1:9">
      <c r="A171" s="3" t="s">
        <v>165</v>
      </c>
      <c r="B171" s="3" t="s">
        <v>30</v>
      </c>
      <c r="C171" s="3" t="s">
        <v>44</v>
      </c>
      <c r="D171" s="3" t="s">
        <v>34</v>
      </c>
      <c r="E171" s="3">
        <v>30</v>
      </c>
      <c r="F171" s="3">
        <v>45000</v>
      </c>
      <c r="G171" s="3">
        <v>945000</v>
      </c>
      <c r="H171" s="3">
        <v>1350000</v>
      </c>
      <c r="I171" s="3">
        <f t="shared" si="2"/>
        <v>450000</v>
      </c>
    </row>
    <row r="172" spans="1:9">
      <c r="A172" s="3" t="s">
        <v>166</v>
      </c>
      <c r="B172" s="3" t="s">
        <v>30</v>
      </c>
      <c r="C172" s="3" t="s">
        <v>44</v>
      </c>
      <c r="D172" s="3" t="s">
        <v>12</v>
      </c>
      <c r="E172" s="3">
        <v>33</v>
      </c>
      <c r="F172" s="3">
        <v>800</v>
      </c>
      <c r="G172" s="3">
        <v>13200</v>
      </c>
      <c r="H172" s="3">
        <v>26400</v>
      </c>
      <c r="I172" s="3">
        <f t="shared" si="2"/>
        <v>14000</v>
      </c>
    </row>
    <row r="173" spans="1:9">
      <c r="A173" s="3" t="s">
        <v>167</v>
      </c>
      <c r="B173" s="3" t="s">
        <v>47</v>
      </c>
      <c r="C173" s="3" t="s">
        <v>44</v>
      </c>
      <c r="D173" s="3" t="s">
        <v>34</v>
      </c>
      <c r="E173" s="3">
        <v>39</v>
      </c>
      <c r="F173" s="3">
        <v>45000</v>
      </c>
      <c r="G173" s="3">
        <v>1228500</v>
      </c>
      <c r="H173" s="3">
        <v>1755000</v>
      </c>
      <c r="I173" s="3">
        <f t="shared" si="2"/>
        <v>571500</v>
      </c>
    </row>
    <row r="174" spans="1:9">
      <c r="A174" s="3" t="s">
        <v>168</v>
      </c>
      <c r="B174" s="3" t="s">
        <v>17</v>
      </c>
      <c r="C174" s="3" t="s">
        <v>36</v>
      </c>
      <c r="D174" s="3" t="s">
        <v>40</v>
      </c>
      <c r="E174" s="3">
        <v>17</v>
      </c>
      <c r="F174" s="3">
        <v>6000</v>
      </c>
      <c r="G174" s="3">
        <v>63240</v>
      </c>
      <c r="H174" s="3">
        <v>102000</v>
      </c>
      <c r="I174" s="3">
        <f t="shared" si="2"/>
        <v>44760</v>
      </c>
    </row>
    <row r="175" spans="1:9">
      <c r="A175" s="3" t="s">
        <v>139</v>
      </c>
      <c r="B175" s="3" t="s">
        <v>10</v>
      </c>
      <c r="C175" s="3" t="s">
        <v>22</v>
      </c>
      <c r="D175" s="3" t="s">
        <v>40</v>
      </c>
      <c r="E175" s="3">
        <v>38</v>
      </c>
      <c r="F175" s="3">
        <v>6000</v>
      </c>
      <c r="G175" s="3">
        <v>141360</v>
      </c>
      <c r="H175" s="3">
        <v>228000</v>
      </c>
      <c r="I175" s="3">
        <f t="shared" si="2"/>
        <v>92640</v>
      </c>
    </row>
    <row r="176" spans="1:9">
      <c r="A176" s="3" t="s">
        <v>66</v>
      </c>
      <c r="B176" s="3" t="s">
        <v>30</v>
      </c>
      <c r="C176" s="3" t="s">
        <v>11</v>
      </c>
      <c r="D176" s="3" t="s">
        <v>51</v>
      </c>
      <c r="E176" s="3">
        <v>31</v>
      </c>
      <c r="F176" s="3">
        <v>15000</v>
      </c>
      <c r="G176" s="3">
        <v>302250</v>
      </c>
      <c r="H176" s="3">
        <v>465000</v>
      </c>
      <c r="I176" s="3">
        <f t="shared" si="2"/>
        <v>177750</v>
      </c>
    </row>
    <row r="177" spans="1:9">
      <c r="A177" s="3" t="s">
        <v>169</v>
      </c>
      <c r="B177" s="3" t="s">
        <v>47</v>
      </c>
      <c r="C177" s="3" t="s">
        <v>36</v>
      </c>
      <c r="D177" s="3" t="s">
        <v>51</v>
      </c>
      <c r="E177" s="3">
        <v>38</v>
      </c>
      <c r="F177" s="3">
        <v>15000</v>
      </c>
      <c r="G177" s="3">
        <v>370500</v>
      </c>
      <c r="H177" s="3">
        <v>570000</v>
      </c>
      <c r="I177" s="3">
        <f t="shared" si="2"/>
        <v>214500</v>
      </c>
    </row>
    <row r="178" spans="1:9">
      <c r="A178" s="3" t="s">
        <v>129</v>
      </c>
      <c r="B178" s="3" t="s">
        <v>47</v>
      </c>
      <c r="C178" s="3" t="s">
        <v>11</v>
      </c>
      <c r="D178" s="3" t="s">
        <v>23</v>
      </c>
      <c r="E178" s="3">
        <v>23</v>
      </c>
      <c r="F178" s="3">
        <v>25000</v>
      </c>
      <c r="G178" s="3">
        <v>402500</v>
      </c>
      <c r="H178" s="3">
        <v>575000</v>
      </c>
      <c r="I178" s="3">
        <f t="shared" si="2"/>
        <v>197500</v>
      </c>
    </row>
    <row r="179" spans="1:9">
      <c r="A179" s="3" t="s">
        <v>170</v>
      </c>
      <c r="B179" s="3" t="s">
        <v>33</v>
      </c>
      <c r="C179" s="3" t="s">
        <v>36</v>
      </c>
      <c r="D179" s="3" t="s">
        <v>34</v>
      </c>
      <c r="E179" s="3">
        <v>11</v>
      </c>
      <c r="F179" s="3">
        <v>45000</v>
      </c>
      <c r="G179" s="3">
        <v>346500</v>
      </c>
      <c r="H179" s="3">
        <v>495000</v>
      </c>
      <c r="I179" s="3">
        <f t="shared" si="2"/>
        <v>193500</v>
      </c>
    </row>
    <row r="180" spans="1:9">
      <c r="A180" s="3" t="s">
        <v>103</v>
      </c>
      <c r="B180" s="3" t="s">
        <v>17</v>
      </c>
      <c r="C180" s="3" t="s">
        <v>44</v>
      </c>
      <c r="D180" s="3" t="s">
        <v>12</v>
      </c>
      <c r="E180" s="3">
        <v>43</v>
      </c>
      <c r="F180" s="3">
        <v>800</v>
      </c>
      <c r="G180" s="3">
        <v>17200</v>
      </c>
      <c r="H180" s="3">
        <v>34400</v>
      </c>
      <c r="I180" s="3">
        <f t="shared" si="2"/>
        <v>18000</v>
      </c>
    </row>
    <row r="181" spans="1:9">
      <c r="A181" s="3" t="s">
        <v>171</v>
      </c>
      <c r="B181" s="3" t="s">
        <v>25</v>
      </c>
      <c r="C181" s="3" t="s">
        <v>44</v>
      </c>
      <c r="D181" s="3" t="s">
        <v>34</v>
      </c>
      <c r="E181" s="3">
        <v>21</v>
      </c>
      <c r="F181" s="3">
        <v>45000</v>
      </c>
      <c r="G181" s="3">
        <v>661500</v>
      </c>
      <c r="H181" s="3">
        <v>945000</v>
      </c>
      <c r="I181" s="3">
        <f t="shared" si="2"/>
        <v>328500</v>
      </c>
    </row>
    <row r="182" spans="1:9">
      <c r="A182" s="3" t="s">
        <v>172</v>
      </c>
      <c r="B182" s="3" t="s">
        <v>33</v>
      </c>
      <c r="C182" s="3" t="s">
        <v>11</v>
      </c>
      <c r="D182" s="3" t="s">
        <v>26</v>
      </c>
      <c r="E182" s="3">
        <v>33</v>
      </c>
      <c r="F182" s="3">
        <v>12000</v>
      </c>
      <c r="G182" s="3">
        <v>269280</v>
      </c>
      <c r="H182" s="3">
        <v>396000</v>
      </c>
      <c r="I182" s="3">
        <f t="shared" si="2"/>
        <v>138720</v>
      </c>
    </row>
    <row r="183" spans="1:9">
      <c r="A183" s="3" t="s">
        <v>173</v>
      </c>
      <c r="B183" s="3" t="s">
        <v>47</v>
      </c>
      <c r="C183" s="3" t="s">
        <v>44</v>
      </c>
      <c r="D183" s="3" t="s">
        <v>18</v>
      </c>
      <c r="E183" s="3">
        <v>13</v>
      </c>
      <c r="F183" s="3">
        <v>55000</v>
      </c>
      <c r="G183" s="3">
        <v>514800</v>
      </c>
      <c r="H183" s="3">
        <v>715000</v>
      </c>
      <c r="I183" s="3">
        <f t="shared" si="2"/>
        <v>255200</v>
      </c>
    </row>
    <row r="184" spans="1:9">
      <c r="A184" s="3" t="s">
        <v>169</v>
      </c>
      <c r="B184" s="3" t="s">
        <v>33</v>
      </c>
      <c r="C184" s="3" t="s">
        <v>44</v>
      </c>
      <c r="D184" s="3" t="s">
        <v>23</v>
      </c>
      <c r="E184" s="3">
        <v>49</v>
      </c>
      <c r="F184" s="3">
        <v>25000</v>
      </c>
      <c r="G184" s="3">
        <v>857500</v>
      </c>
      <c r="H184" s="3">
        <v>1225000</v>
      </c>
      <c r="I184" s="3">
        <f t="shared" si="2"/>
        <v>392500</v>
      </c>
    </row>
    <row r="185" spans="1:9">
      <c r="A185" s="3" t="s">
        <v>174</v>
      </c>
      <c r="B185" s="3" t="s">
        <v>20</v>
      </c>
      <c r="C185" s="3" t="s">
        <v>36</v>
      </c>
      <c r="D185" s="3" t="s">
        <v>15</v>
      </c>
      <c r="E185" s="3">
        <v>9</v>
      </c>
      <c r="F185" s="3">
        <v>3500</v>
      </c>
      <c r="G185" s="3">
        <v>18900</v>
      </c>
      <c r="H185" s="3">
        <v>31500</v>
      </c>
      <c r="I185" s="3">
        <f t="shared" si="2"/>
        <v>16100</v>
      </c>
    </row>
    <row r="186" spans="1:9">
      <c r="A186" s="3" t="s">
        <v>161</v>
      </c>
      <c r="B186" s="3" t="s">
        <v>47</v>
      </c>
      <c r="C186" s="3" t="s">
        <v>44</v>
      </c>
      <c r="D186" s="3" t="s">
        <v>34</v>
      </c>
      <c r="E186" s="3">
        <v>2</v>
      </c>
      <c r="F186" s="3">
        <v>45000</v>
      </c>
      <c r="G186" s="3">
        <v>63000</v>
      </c>
      <c r="H186" s="3">
        <v>90000</v>
      </c>
      <c r="I186" s="3">
        <f t="shared" si="2"/>
        <v>72000</v>
      </c>
    </row>
    <row r="187" spans="1:9">
      <c r="A187" s="3" t="s">
        <v>175</v>
      </c>
      <c r="B187" s="3" t="s">
        <v>20</v>
      </c>
      <c r="C187" s="3" t="s">
        <v>22</v>
      </c>
      <c r="D187" s="3" t="s">
        <v>12</v>
      </c>
      <c r="E187" s="3">
        <v>36</v>
      </c>
      <c r="F187" s="3">
        <v>800</v>
      </c>
      <c r="G187" s="3">
        <v>14400</v>
      </c>
      <c r="H187" s="3">
        <v>28800</v>
      </c>
      <c r="I187" s="3">
        <f t="shared" si="2"/>
        <v>15200</v>
      </c>
    </row>
    <row r="188" spans="1:9">
      <c r="A188" s="3" t="s">
        <v>153</v>
      </c>
      <c r="B188" s="3" t="s">
        <v>17</v>
      </c>
      <c r="C188" s="3" t="s">
        <v>11</v>
      </c>
      <c r="D188" s="3" t="s">
        <v>60</v>
      </c>
      <c r="E188" s="3">
        <v>8</v>
      </c>
      <c r="F188" s="3">
        <v>1500</v>
      </c>
      <c r="G188" s="3">
        <v>6600</v>
      </c>
      <c r="H188" s="3">
        <v>12000</v>
      </c>
      <c r="I188" s="3">
        <f t="shared" si="2"/>
        <v>6900</v>
      </c>
    </row>
    <row r="189" spans="1:9">
      <c r="A189" s="3" t="s">
        <v>133</v>
      </c>
      <c r="B189" s="3" t="s">
        <v>10</v>
      </c>
      <c r="C189" s="3" t="s">
        <v>22</v>
      </c>
      <c r="D189" s="3" t="s">
        <v>23</v>
      </c>
      <c r="E189" s="3">
        <v>46</v>
      </c>
      <c r="F189" s="3">
        <v>25000</v>
      </c>
      <c r="G189" s="3">
        <v>805000</v>
      </c>
      <c r="H189" s="3">
        <v>1150000</v>
      </c>
      <c r="I189" s="3">
        <f t="shared" si="2"/>
        <v>370000</v>
      </c>
    </row>
    <row r="190" spans="1:9">
      <c r="A190" s="3" t="s">
        <v>176</v>
      </c>
      <c r="B190" s="3" t="s">
        <v>30</v>
      </c>
      <c r="C190" s="3" t="s">
        <v>44</v>
      </c>
      <c r="D190" s="3" t="s">
        <v>23</v>
      </c>
      <c r="E190" s="3">
        <v>31</v>
      </c>
      <c r="F190" s="3">
        <v>25000</v>
      </c>
      <c r="G190" s="3">
        <v>542500</v>
      </c>
      <c r="H190" s="3">
        <v>775000</v>
      </c>
      <c r="I190" s="3">
        <f t="shared" si="2"/>
        <v>257500</v>
      </c>
    </row>
    <row r="191" spans="1:9">
      <c r="A191" s="3" t="s">
        <v>177</v>
      </c>
      <c r="B191" s="3" t="s">
        <v>47</v>
      </c>
      <c r="C191" s="3" t="s">
        <v>22</v>
      </c>
      <c r="D191" s="3" t="s">
        <v>26</v>
      </c>
      <c r="E191" s="3">
        <v>13</v>
      </c>
      <c r="F191" s="3">
        <v>12000</v>
      </c>
      <c r="G191" s="3">
        <v>106080</v>
      </c>
      <c r="H191" s="3">
        <v>156000</v>
      </c>
      <c r="I191" s="3">
        <f t="shared" si="2"/>
        <v>61920</v>
      </c>
    </row>
    <row r="192" spans="1:9">
      <c r="A192" s="3" t="s">
        <v>178</v>
      </c>
      <c r="B192" s="3" t="s">
        <v>14</v>
      </c>
      <c r="C192" s="3" t="s">
        <v>11</v>
      </c>
      <c r="D192" s="3" t="s">
        <v>12</v>
      </c>
      <c r="E192" s="3">
        <v>50</v>
      </c>
      <c r="F192" s="3">
        <v>800</v>
      </c>
      <c r="G192" s="3">
        <v>20000</v>
      </c>
      <c r="H192" s="3">
        <v>40000</v>
      </c>
      <c r="I192" s="3">
        <f t="shared" si="2"/>
        <v>20800</v>
      </c>
    </row>
    <row r="193" spans="1:9">
      <c r="A193" s="3" t="s">
        <v>179</v>
      </c>
      <c r="B193" s="3" t="s">
        <v>33</v>
      </c>
      <c r="C193" s="3" t="s">
        <v>36</v>
      </c>
      <c r="D193" s="3" t="s">
        <v>18</v>
      </c>
      <c r="E193" s="3">
        <v>19</v>
      </c>
      <c r="F193" s="3">
        <v>55000</v>
      </c>
      <c r="G193" s="3">
        <v>752400</v>
      </c>
      <c r="H193" s="3">
        <v>1045000</v>
      </c>
      <c r="I193" s="3">
        <f t="shared" si="2"/>
        <v>347600</v>
      </c>
    </row>
    <row r="194" spans="1:9">
      <c r="A194" s="3" t="s">
        <v>127</v>
      </c>
      <c r="B194" s="3" t="s">
        <v>47</v>
      </c>
      <c r="C194" s="3" t="s">
        <v>22</v>
      </c>
      <c r="D194" s="3" t="s">
        <v>23</v>
      </c>
      <c r="E194" s="3">
        <v>35</v>
      </c>
      <c r="F194" s="3">
        <v>25000</v>
      </c>
      <c r="G194" s="3">
        <v>612500</v>
      </c>
      <c r="H194" s="3">
        <v>875000</v>
      </c>
      <c r="I194" s="3">
        <f t="shared" si="2"/>
        <v>287500</v>
      </c>
    </row>
    <row r="195" spans="1:9">
      <c r="A195" s="3" t="s">
        <v>152</v>
      </c>
      <c r="B195" s="3" t="s">
        <v>33</v>
      </c>
      <c r="C195" s="3" t="s">
        <v>36</v>
      </c>
      <c r="D195" s="3" t="s">
        <v>15</v>
      </c>
      <c r="E195" s="3">
        <v>49</v>
      </c>
      <c r="F195" s="3">
        <v>3500</v>
      </c>
      <c r="G195" s="3">
        <v>102900</v>
      </c>
      <c r="H195" s="3">
        <v>171500</v>
      </c>
      <c r="I195" s="3">
        <f t="shared" ref="I195:I258" si="3">H195-(G195-F195)</f>
        <v>72100</v>
      </c>
    </row>
    <row r="196" spans="1:9">
      <c r="A196" s="3" t="s">
        <v>163</v>
      </c>
      <c r="B196" s="3" t="s">
        <v>17</v>
      </c>
      <c r="C196" s="3" t="s">
        <v>44</v>
      </c>
      <c r="D196" s="3" t="s">
        <v>27</v>
      </c>
      <c r="E196" s="3">
        <v>13</v>
      </c>
      <c r="F196" s="3">
        <v>2200</v>
      </c>
      <c r="G196" s="3">
        <v>16588</v>
      </c>
      <c r="H196" s="3">
        <v>28600</v>
      </c>
      <c r="I196" s="3">
        <f t="shared" si="3"/>
        <v>14212</v>
      </c>
    </row>
    <row r="197" spans="1:9">
      <c r="A197" s="3" t="s">
        <v>180</v>
      </c>
      <c r="B197" s="3" t="s">
        <v>20</v>
      </c>
      <c r="C197" s="3" t="s">
        <v>44</v>
      </c>
      <c r="D197" s="3" t="s">
        <v>60</v>
      </c>
      <c r="E197" s="3">
        <v>50</v>
      </c>
      <c r="F197" s="3">
        <v>1500</v>
      </c>
      <c r="G197" s="3">
        <v>41250</v>
      </c>
      <c r="H197" s="3">
        <v>75000</v>
      </c>
      <c r="I197" s="3">
        <f t="shared" si="3"/>
        <v>35250</v>
      </c>
    </row>
    <row r="198" spans="1:9">
      <c r="A198" s="3" t="s">
        <v>72</v>
      </c>
      <c r="B198" s="3" t="s">
        <v>25</v>
      </c>
      <c r="C198" s="3" t="s">
        <v>36</v>
      </c>
      <c r="D198" s="3" t="s">
        <v>23</v>
      </c>
      <c r="E198" s="3">
        <v>46</v>
      </c>
      <c r="F198" s="3">
        <v>25000</v>
      </c>
      <c r="G198" s="3">
        <v>805000</v>
      </c>
      <c r="H198" s="3">
        <v>1150000</v>
      </c>
      <c r="I198" s="3">
        <f t="shared" si="3"/>
        <v>370000</v>
      </c>
    </row>
    <row r="199" spans="1:9">
      <c r="A199" s="3" t="s">
        <v>181</v>
      </c>
      <c r="B199" s="3" t="s">
        <v>17</v>
      </c>
      <c r="C199" s="3" t="s">
        <v>22</v>
      </c>
      <c r="D199" s="3" t="s">
        <v>23</v>
      </c>
      <c r="E199" s="3">
        <v>3</v>
      </c>
      <c r="F199" s="3">
        <v>25000</v>
      </c>
      <c r="G199" s="3">
        <v>52500</v>
      </c>
      <c r="H199" s="3">
        <v>75000</v>
      </c>
      <c r="I199" s="3">
        <f t="shared" si="3"/>
        <v>47500</v>
      </c>
    </row>
    <row r="200" spans="1:9">
      <c r="A200" s="3" t="s">
        <v>182</v>
      </c>
      <c r="B200" s="3" t="s">
        <v>33</v>
      </c>
      <c r="C200" s="3" t="s">
        <v>11</v>
      </c>
      <c r="D200" s="3" t="s">
        <v>23</v>
      </c>
      <c r="E200" s="3">
        <v>7</v>
      </c>
      <c r="F200" s="3">
        <v>25000</v>
      </c>
      <c r="G200" s="3">
        <v>122500</v>
      </c>
      <c r="H200" s="3">
        <v>175000</v>
      </c>
      <c r="I200" s="3">
        <f t="shared" si="3"/>
        <v>77500</v>
      </c>
    </row>
    <row r="201" spans="1:9">
      <c r="A201" s="3" t="s">
        <v>183</v>
      </c>
      <c r="B201" s="3" t="s">
        <v>47</v>
      </c>
      <c r="C201" s="3" t="s">
        <v>11</v>
      </c>
      <c r="D201" s="3" t="s">
        <v>51</v>
      </c>
      <c r="E201" s="3">
        <v>27</v>
      </c>
      <c r="F201" s="3">
        <v>15000</v>
      </c>
      <c r="G201" s="3">
        <v>263250</v>
      </c>
      <c r="H201" s="3">
        <v>405000</v>
      </c>
      <c r="I201" s="3">
        <f t="shared" si="3"/>
        <v>156750</v>
      </c>
    </row>
    <row r="202" spans="1:9">
      <c r="A202" s="3" t="s">
        <v>184</v>
      </c>
      <c r="B202" s="3" t="s">
        <v>14</v>
      </c>
      <c r="C202" s="3" t="s">
        <v>11</v>
      </c>
      <c r="D202" s="3" t="s">
        <v>23</v>
      </c>
      <c r="E202" s="3">
        <v>17</v>
      </c>
      <c r="F202" s="3">
        <v>25000</v>
      </c>
      <c r="G202" s="3">
        <v>297500</v>
      </c>
      <c r="H202" s="3">
        <v>425000</v>
      </c>
      <c r="I202" s="3">
        <f t="shared" si="3"/>
        <v>152500</v>
      </c>
    </row>
    <row r="203" spans="1:9">
      <c r="A203" s="3" t="s">
        <v>185</v>
      </c>
      <c r="B203" s="3" t="s">
        <v>17</v>
      </c>
      <c r="C203" s="3" t="s">
        <v>11</v>
      </c>
      <c r="D203" s="3" t="s">
        <v>27</v>
      </c>
      <c r="E203" s="3">
        <v>44</v>
      </c>
      <c r="F203" s="3">
        <v>2200</v>
      </c>
      <c r="G203" s="3">
        <v>56144</v>
      </c>
      <c r="H203" s="3">
        <v>96800</v>
      </c>
      <c r="I203" s="3">
        <f t="shared" si="3"/>
        <v>42856</v>
      </c>
    </row>
    <row r="204" spans="1:9">
      <c r="A204" s="3" t="s">
        <v>186</v>
      </c>
      <c r="B204" s="3" t="s">
        <v>17</v>
      </c>
      <c r="C204" s="3" t="s">
        <v>36</v>
      </c>
      <c r="D204" s="3" t="s">
        <v>23</v>
      </c>
      <c r="E204" s="3">
        <v>35</v>
      </c>
      <c r="F204" s="3">
        <v>25000</v>
      </c>
      <c r="G204" s="3">
        <v>612500</v>
      </c>
      <c r="H204" s="3">
        <v>875000</v>
      </c>
      <c r="I204" s="3">
        <f t="shared" si="3"/>
        <v>287500</v>
      </c>
    </row>
    <row r="205" spans="1:9">
      <c r="A205" s="3" t="s">
        <v>187</v>
      </c>
      <c r="B205" s="3" t="s">
        <v>10</v>
      </c>
      <c r="C205" s="3" t="s">
        <v>22</v>
      </c>
      <c r="D205" s="3" t="s">
        <v>12</v>
      </c>
      <c r="E205" s="3">
        <v>15</v>
      </c>
      <c r="F205" s="3">
        <v>800</v>
      </c>
      <c r="G205" s="3">
        <v>6000</v>
      </c>
      <c r="H205" s="3">
        <v>12000</v>
      </c>
      <c r="I205" s="3">
        <f t="shared" si="3"/>
        <v>6800</v>
      </c>
    </row>
    <row r="206" spans="1:9">
      <c r="A206" s="3" t="s">
        <v>50</v>
      </c>
      <c r="B206" s="3" t="s">
        <v>17</v>
      </c>
      <c r="C206" s="3" t="s">
        <v>11</v>
      </c>
      <c r="D206" s="3" t="s">
        <v>34</v>
      </c>
      <c r="E206" s="3">
        <v>29</v>
      </c>
      <c r="F206" s="3">
        <v>45000</v>
      </c>
      <c r="G206" s="3">
        <v>913500</v>
      </c>
      <c r="H206" s="3">
        <v>1305000</v>
      </c>
      <c r="I206" s="3">
        <f t="shared" si="3"/>
        <v>436500</v>
      </c>
    </row>
    <row r="207" spans="1:9">
      <c r="A207" s="3" t="s">
        <v>188</v>
      </c>
      <c r="B207" s="3" t="s">
        <v>30</v>
      </c>
      <c r="C207" s="3" t="s">
        <v>11</v>
      </c>
      <c r="D207" s="3" t="s">
        <v>18</v>
      </c>
      <c r="E207" s="3">
        <v>21</v>
      </c>
      <c r="F207" s="3">
        <v>55000</v>
      </c>
      <c r="G207" s="3">
        <v>831600</v>
      </c>
      <c r="H207" s="3">
        <v>1155000</v>
      </c>
      <c r="I207" s="3">
        <f t="shared" si="3"/>
        <v>378400</v>
      </c>
    </row>
    <row r="208" spans="1:9">
      <c r="A208" s="3" t="s">
        <v>189</v>
      </c>
      <c r="B208" s="3" t="s">
        <v>30</v>
      </c>
      <c r="C208" s="3" t="s">
        <v>36</v>
      </c>
      <c r="D208" s="3" t="s">
        <v>27</v>
      </c>
      <c r="E208" s="3">
        <v>28</v>
      </c>
      <c r="F208" s="3">
        <v>2200</v>
      </c>
      <c r="G208" s="3">
        <v>35728</v>
      </c>
      <c r="H208" s="3">
        <v>61600</v>
      </c>
      <c r="I208" s="3">
        <f t="shared" si="3"/>
        <v>28072</v>
      </c>
    </row>
    <row r="209" spans="1:9">
      <c r="A209" s="3" t="s">
        <v>190</v>
      </c>
      <c r="B209" s="3" t="s">
        <v>20</v>
      </c>
      <c r="C209" s="3" t="s">
        <v>44</v>
      </c>
      <c r="D209" s="3" t="s">
        <v>40</v>
      </c>
      <c r="E209" s="3">
        <v>44</v>
      </c>
      <c r="F209" s="3">
        <v>6000</v>
      </c>
      <c r="G209" s="3">
        <v>163680</v>
      </c>
      <c r="H209" s="3">
        <v>264000</v>
      </c>
      <c r="I209" s="3">
        <f t="shared" si="3"/>
        <v>106320</v>
      </c>
    </row>
    <row r="210" spans="1:9">
      <c r="A210" s="3" t="s">
        <v>191</v>
      </c>
      <c r="B210" s="3" t="s">
        <v>14</v>
      </c>
      <c r="C210" s="3" t="s">
        <v>22</v>
      </c>
      <c r="D210" s="3" t="s">
        <v>34</v>
      </c>
      <c r="E210" s="3">
        <v>40</v>
      </c>
      <c r="F210" s="3">
        <v>45000</v>
      </c>
      <c r="G210" s="3">
        <v>1260000</v>
      </c>
      <c r="H210" s="3">
        <v>1800000</v>
      </c>
      <c r="I210" s="3">
        <f t="shared" si="3"/>
        <v>585000</v>
      </c>
    </row>
    <row r="211" spans="1:9">
      <c r="A211" s="3" t="s">
        <v>181</v>
      </c>
      <c r="B211" s="3" t="s">
        <v>20</v>
      </c>
      <c r="C211" s="3" t="s">
        <v>44</v>
      </c>
      <c r="D211" s="3" t="s">
        <v>40</v>
      </c>
      <c r="E211" s="3">
        <v>10</v>
      </c>
      <c r="F211" s="3">
        <v>6000</v>
      </c>
      <c r="G211" s="3">
        <v>37200</v>
      </c>
      <c r="H211" s="3">
        <v>60000</v>
      </c>
      <c r="I211" s="3">
        <f t="shared" si="3"/>
        <v>28800</v>
      </c>
    </row>
    <row r="212" spans="1:9">
      <c r="A212" s="3" t="s">
        <v>192</v>
      </c>
      <c r="B212" s="3" t="s">
        <v>47</v>
      </c>
      <c r="C212" s="3" t="s">
        <v>36</v>
      </c>
      <c r="D212" s="3" t="s">
        <v>23</v>
      </c>
      <c r="E212" s="3">
        <v>17</v>
      </c>
      <c r="F212" s="3">
        <v>25000</v>
      </c>
      <c r="G212" s="3">
        <v>297500</v>
      </c>
      <c r="H212" s="3">
        <v>425000</v>
      </c>
      <c r="I212" s="3">
        <f t="shared" si="3"/>
        <v>152500</v>
      </c>
    </row>
    <row r="213" spans="1:9">
      <c r="A213" s="3" t="s">
        <v>193</v>
      </c>
      <c r="B213" s="3" t="s">
        <v>25</v>
      </c>
      <c r="C213" s="3" t="s">
        <v>44</v>
      </c>
      <c r="D213" s="3" t="s">
        <v>12</v>
      </c>
      <c r="E213" s="3">
        <v>44</v>
      </c>
      <c r="F213" s="3">
        <v>800</v>
      </c>
      <c r="G213" s="3">
        <v>17600</v>
      </c>
      <c r="H213" s="3">
        <v>35200</v>
      </c>
      <c r="I213" s="3">
        <f t="shared" si="3"/>
        <v>18400</v>
      </c>
    </row>
    <row r="214" spans="1:9">
      <c r="A214" s="3" t="s">
        <v>128</v>
      </c>
      <c r="B214" s="3" t="s">
        <v>14</v>
      </c>
      <c r="C214" s="3" t="s">
        <v>11</v>
      </c>
      <c r="D214" s="3" t="s">
        <v>23</v>
      </c>
      <c r="E214" s="3">
        <v>23</v>
      </c>
      <c r="F214" s="3">
        <v>25000</v>
      </c>
      <c r="G214" s="3">
        <v>402500</v>
      </c>
      <c r="H214" s="3">
        <v>575000</v>
      </c>
      <c r="I214" s="3">
        <f t="shared" si="3"/>
        <v>197500</v>
      </c>
    </row>
    <row r="215" spans="1:9">
      <c r="A215" s="3" t="s">
        <v>194</v>
      </c>
      <c r="B215" s="3" t="s">
        <v>30</v>
      </c>
      <c r="C215" s="3" t="s">
        <v>44</v>
      </c>
      <c r="D215" s="3" t="s">
        <v>12</v>
      </c>
      <c r="E215" s="3">
        <v>30</v>
      </c>
      <c r="F215" s="3">
        <v>800</v>
      </c>
      <c r="G215" s="3">
        <v>12000</v>
      </c>
      <c r="H215" s="3">
        <v>24000</v>
      </c>
      <c r="I215" s="3">
        <f t="shared" si="3"/>
        <v>12800</v>
      </c>
    </row>
    <row r="216" spans="1:9">
      <c r="A216" s="3" t="s">
        <v>89</v>
      </c>
      <c r="B216" s="3" t="s">
        <v>20</v>
      </c>
      <c r="C216" s="3" t="s">
        <v>44</v>
      </c>
      <c r="D216" s="3" t="s">
        <v>23</v>
      </c>
      <c r="E216" s="3">
        <v>7</v>
      </c>
      <c r="F216" s="3">
        <v>25000</v>
      </c>
      <c r="G216" s="3">
        <v>122500</v>
      </c>
      <c r="H216" s="3">
        <v>175000</v>
      </c>
      <c r="I216" s="3">
        <f t="shared" si="3"/>
        <v>77500</v>
      </c>
    </row>
    <row r="217" spans="1:9">
      <c r="A217" s="3" t="s">
        <v>195</v>
      </c>
      <c r="B217" s="3" t="s">
        <v>17</v>
      </c>
      <c r="C217" s="3" t="s">
        <v>36</v>
      </c>
      <c r="D217" s="3" t="s">
        <v>40</v>
      </c>
      <c r="E217" s="3">
        <v>19</v>
      </c>
      <c r="F217" s="3">
        <v>6000</v>
      </c>
      <c r="G217" s="3">
        <v>70680</v>
      </c>
      <c r="H217" s="3">
        <v>114000</v>
      </c>
      <c r="I217" s="3">
        <f t="shared" si="3"/>
        <v>49320</v>
      </c>
    </row>
    <row r="218" spans="1:9">
      <c r="A218" s="3" t="s">
        <v>196</v>
      </c>
      <c r="B218" s="3" t="s">
        <v>30</v>
      </c>
      <c r="C218" s="3" t="s">
        <v>11</v>
      </c>
      <c r="D218" s="3" t="s">
        <v>26</v>
      </c>
      <c r="E218" s="3">
        <v>18</v>
      </c>
      <c r="F218" s="3">
        <v>12000</v>
      </c>
      <c r="G218" s="3">
        <v>146880</v>
      </c>
      <c r="H218" s="3">
        <v>216000</v>
      </c>
      <c r="I218" s="3">
        <f t="shared" si="3"/>
        <v>81120</v>
      </c>
    </row>
    <row r="219" spans="1:9">
      <c r="A219" s="3" t="s">
        <v>197</v>
      </c>
      <c r="B219" s="3" t="s">
        <v>25</v>
      </c>
      <c r="C219" s="3" t="s">
        <v>44</v>
      </c>
      <c r="D219" s="3" t="s">
        <v>12</v>
      </c>
      <c r="E219" s="3">
        <v>50</v>
      </c>
      <c r="F219" s="3">
        <v>800</v>
      </c>
      <c r="G219" s="3">
        <v>20000</v>
      </c>
      <c r="H219" s="3">
        <v>40000</v>
      </c>
      <c r="I219" s="3">
        <f t="shared" si="3"/>
        <v>20800</v>
      </c>
    </row>
    <row r="220" spans="1:9">
      <c r="A220" s="3" t="s">
        <v>198</v>
      </c>
      <c r="B220" s="3" t="s">
        <v>33</v>
      </c>
      <c r="C220" s="3" t="s">
        <v>22</v>
      </c>
      <c r="D220" s="3" t="s">
        <v>60</v>
      </c>
      <c r="E220" s="3">
        <v>40</v>
      </c>
      <c r="F220" s="3">
        <v>1500</v>
      </c>
      <c r="G220" s="3">
        <v>33000</v>
      </c>
      <c r="H220" s="3">
        <v>60000</v>
      </c>
      <c r="I220" s="3">
        <f t="shared" si="3"/>
        <v>28500</v>
      </c>
    </row>
    <row r="221" spans="1:9">
      <c r="A221" s="3" t="s">
        <v>199</v>
      </c>
      <c r="B221" s="3" t="s">
        <v>14</v>
      </c>
      <c r="C221" s="3" t="s">
        <v>11</v>
      </c>
      <c r="D221" s="3" t="s">
        <v>18</v>
      </c>
      <c r="E221" s="3">
        <v>20</v>
      </c>
      <c r="F221" s="3">
        <v>55000</v>
      </c>
      <c r="G221" s="3">
        <v>792000</v>
      </c>
      <c r="H221" s="3">
        <v>1100000</v>
      </c>
      <c r="I221" s="3">
        <f t="shared" si="3"/>
        <v>363000</v>
      </c>
    </row>
    <row r="222" spans="1:9">
      <c r="A222" s="3" t="s">
        <v>200</v>
      </c>
      <c r="B222" s="3" t="s">
        <v>25</v>
      </c>
      <c r="C222" s="3" t="s">
        <v>36</v>
      </c>
      <c r="D222" s="3" t="s">
        <v>51</v>
      </c>
      <c r="E222" s="3">
        <v>6</v>
      </c>
      <c r="F222" s="3">
        <v>15000</v>
      </c>
      <c r="G222" s="3">
        <v>58500</v>
      </c>
      <c r="H222" s="3">
        <v>90000</v>
      </c>
      <c r="I222" s="3">
        <f t="shared" si="3"/>
        <v>46500</v>
      </c>
    </row>
    <row r="223" spans="1:9">
      <c r="A223" s="3" t="s">
        <v>79</v>
      </c>
      <c r="B223" s="3" t="s">
        <v>33</v>
      </c>
      <c r="C223" s="3" t="s">
        <v>44</v>
      </c>
      <c r="D223" s="3" t="s">
        <v>51</v>
      </c>
      <c r="E223" s="3">
        <v>13</v>
      </c>
      <c r="F223" s="3">
        <v>15000</v>
      </c>
      <c r="G223" s="3">
        <v>126750</v>
      </c>
      <c r="H223" s="3">
        <v>195000</v>
      </c>
      <c r="I223" s="3">
        <f t="shared" si="3"/>
        <v>83250</v>
      </c>
    </row>
    <row r="224" spans="1:9">
      <c r="A224" s="3" t="s">
        <v>87</v>
      </c>
      <c r="B224" s="3" t="s">
        <v>33</v>
      </c>
      <c r="C224" s="3" t="s">
        <v>36</v>
      </c>
      <c r="D224" s="3" t="s">
        <v>51</v>
      </c>
      <c r="E224" s="3">
        <v>17</v>
      </c>
      <c r="F224" s="3">
        <v>15000</v>
      </c>
      <c r="G224" s="3">
        <v>165750</v>
      </c>
      <c r="H224" s="3">
        <v>255000</v>
      </c>
      <c r="I224" s="3">
        <f t="shared" si="3"/>
        <v>104250</v>
      </c>
    </row>
    <row r="225" spans="1:9">
      <c r="A225" s="3" t="s">
        <v>76</v>
      </c>
      <c r="B225" s="3" t="s">
        <v>30</v>
      </c>
      <c r="C225" s="3" t="s">
        <v>36</v>
      </c>
      <c r="D225" s="3" t="s">
        <v>34</v>
      </c>
      <c r="E225" s="3">
        <v>30</v>
      </c>
      <c r="F225" s="3">
        <v>45000</v>
      </c>
      <c r="G225" s="3">
        <v>945000</v>
      </c>
      <c r="H225" s="3">
        <v>1350000</v>
      </c>
      <c r="I225" s="3">
        <f t="shared" si="3"/>
        <v>450000</v>
      </c>
    </row>
    <row r="226" spans="1:9">
      <c r="A226" s="3" t="s">
        <v>201</v>
      </c>
      <c r="B226" s="3" t="s">
        <v>14</v>
      </c>
      <c r="C226" s="3" t="s">
        <v>22</v>
      </c>
      <c r="D226" s="3" t="s">
        <v>26</v>
      </c>
      <c r="E226" s="3">
        <v>36</v>
      </c>
      <c r="F226" s="3">
        <v>12000</v>
      </c>
      <c r="G226" s="3">
        <v>293760</v>
      </c>
      <c r="H226" s="3">
        <v>432000</v>
      </c>
      <c r="I226" s="3">
        <f t="shared" si="3"/>
        <v>150240</v>
      </c>
    </row>
    <row r="227" spans="1:9">
      <c r="A227" s="3" t="s">
        <v>202</v>
      </c>
      <c r="B227" s="3" t="s">
        <v>10</v>
      </c>
      <c r="C227" s="3" t="s">
        <v>44</v>
      </c>
      <c r="D227" s="3" t="s">
        <v>18</v>
      </c>
      <c r="E227" s="3">
        <v>17</v>
      </c>
      <c r="F227" s="3">
        <v>55000</v>
      </c>
      <c r="G227" s="3">
        <v>673200</v>
      </c>
      <c r="H227" s="3">
        <v>935000</v>
      </c>
      <c r="I227" s="3">
        <f t="shared" si="3"/>
        <v>316800</v>
      </c>
    </row>
    <row r="228" spans="1:9">
      <c r="A228" s="3" t="s">
        <v>151</v>
      </c>
      <c r="B228" s="3" t="s">
        <v>10</v>
      </c>
      <c r="C228" s="3" t="s">
        <v>44</v>
      </c>
      <c r="D228" s="3" t="s">
        <v>27</v>
      </c>
      <c r="E228" s="3">
        <v>44</v>
      </c>
      <c r="F228" s="3">
        <v>2200</v>
      </c>
      <c r="G228" s="3">
        <v>56144</v>
      </c>
      <c r="H228" s="3">
        <v>96800</v>
      </c>
      <c r="I228" s="3">
        <f t="shared" si="3"/>
        <v>42856</v>
      </c>
    </row>
    <row r="229" spans="1:9">
      <c r="A229" s="3" t="s">
        <v>203</v>
      </c>
      <c r="B229" s="3" t="s">
        <v>30</v>
      </c>
      <c r="C229" s="3" t="s">
        <v>44</v>
      </c>
      <c r="D229" s="3" t="s">
        <v>27</v>
      </c>
      <c r="E229" s="3">
        <v>7</v>
      </c>
      <c r="F229" s="3">
        <v>2200</v>
      </c>
      <c r="G229" s="3">
        <v>8932</v>
      </c>
      <c r="H229" s="3">
        <v>15400</v>
      </c>
      <c r="I229" s="3">
        <f t="shared" si="3"/>
        <v>8668</v>
      </c>
    </row>
    <row r="230" spans="1:9">
      <c r="A230" s="3" t="s">
        <v>83</v>
      </c>
      <c r="B230" s="3" t="s">
        <v>20</v>
      </c>
      <c r="C230" s="3" t="s">
        <v>44</v>
      </c>
      <c r="D230" s="3" t="s">
        <v>18</v>
      </c>
      <c r="E230" s="3">
        <v>40</v>
      </c>
      <c r="F230" s="3">
        <v>55000</v>
      </c>
      <c r="G230" s="3">
        <v>1584000</v>
      </c>
      <c r="H230" s="3">
        <v>2200000</v>
      </c>
      <c r="I230" s="3">
        <f t="shared" si="3"/>
        <v>671000</v>
      </c>
    </row>
    <row r="231" spans="1:9">
      <c r="A231" s="3" t="s">
        <v>204</v>
      </c>
      <c r="B231" s="3" t="s">
        <v>33</v>
      </c>
      <c r="C231" s="3" t="s">
        <v>22</v>
      </c>
      <c r="D231" s="3" t="s">
        <v>34</v>
      </c>
      <c r="E231" s="3">
        <v>41</v>
      </c>
      <c r="F231" s="3">
        <v>45000</v>
      </c>
      <c r="G231" s="3">
        <v>1291500</v>
      </c>
      <c r="H231" s="3">
        <v>1845000</v>
      </c>
      <c r="I231" s="3">
        <f t="shared" si="3"/>
        <v>598500</v>
      </c>
    </row>
    <row r="232" spans="1:9">
      <c r="A232" s="3" t="s">
        <v>205</v>
      </c>
      <c r="B232" s="3" t="s">
        <v>30</v>
      </c>
      <c r="C232" s="3" t="s">
        <v>44</v>
      </c>
      <c r="D232" s="3" t="s">
        <v>34</v>
      </c>
      <c r="E232" s="3">
        <v>9</v>
      </c>
      <c r="F232" s="3">
        <v>45000</v>
      </c>
      <c r="G232" s="3">
        <v>283500</v>
      </c>
      <c r="H232" s="3">
        <v>405000</v>
      </c>
      <c r="I232" s="3">
        <f t="shared" si="3"/>
        <v>166500</v>
      </c>
    </row>
    <row r="233" spans="1:9">
      <c r="A233" s="3" t="s">
        <v>206</v>
      </c>
      <c r="B233" s="3" t="s">
        <v>25</v>
      </c>
      <c r="C233" s="3" t="s">
        <v>36</v>
      </c>
      <c r="D233" s="3" t="s">
        <v>23</v>
      </c>
      <c r="E233" s="3">
        <v>8</v>
      </c>
      <c r="F233" s="3">
        <v>25000</v>
      </c>
      <c r="G233" s="3">
        <v>140000</v>
      </c>
      <c r="H233" s="3">
        <v>200000</v>
      </c>
      <c r="I233" s="3">
        <f t="shared" si="3"/>
        <v>85000</v>
      </c>
    </row>
    <row r="234" spans="1:9">
      <c r="A234" s="3" t="s">
        <v>207</v>
      </c>
      <c r="B234" s="3" t="s">
        <v>20</v>
      </c>
      <c r="C234" s="3" t="s">
        <v>22</v>
      </c>
      <c r="D234" s="3" t="s">
        <v>26</v>
      </c>
      <c r="E234" s="3">
        <v>30</v>
      </c>
      <c r="F234" s="3">
        <v>12000</v>
      </c>
      <c r="G234" s="3">
        <v>244800</v>
      </c>
      <c r="H234" s="3">
        <v>360000</v>
      </c>
      <c r="I234" s="3">
        <f t="shared" si="3"/>
        <v>127200</v>
      </c>
    </row>
    <row r="235" spans="1:9">
      <c r="A235" s="3" t="s">
        <v>208</v>
      </c>
      <c r="B235" s="3" t="s">
        <v>17</v>
      </c>
      <c r="C235" s="3" t="s">
        <v>22</v>
      </c>
      <c r="D235" s="3" t="s">
        <v>26</v>
      </c>
      <c r="E235" s="3">
        <v>42</v>
      </c>
      <c r="F235" s="3">
        <v>12000</v>
      </c>
      <c r="G235" s="3">
        <v>342720</v>
      </c>
      <c r="H235" s="3">
        <v>504000</v>
      </c>
      <c r="I235" s="3">
        <f t="shared" si="3"/>
        <v>173280</v>
      </c>
    </row>
    <row r="236" spans="1:9">
      <c r="A236" s="3" t="s">
        <v>209</v>
      </c>
      <c r="B236" s="3" t="s">
        <v>47</v>
      </c>
      <c r="C236" s="3" t="s">
        <v>44</v>
      </c>
      <c r="D236" s="3" t="s">
        <v>12</v>
      </c>
      <c r="E236" s="3">
        <v>3</v>
      </c>
      <c r="F236" s="3">
        <v>800</v>
      </c>
      <c r="G236" s="3">
        <v>1200</v>
      </c>
      <c r="H236" s="3">
        <v>2400</v>
      </c>
      <c r="I236" s="3">
        <f t="shared" si="3"/>
        <v>2000</v>
      </c>
    </row>
    <row r="237" spans="1:9">
      <c r="A237" s="3" t="s">
        <v>64</v>
      </c>
      <c r="B237" s="3" t="s">
        <v>33</v>
      </c>
      <c r="C237" s="3" t="s">
        <v>22</v>
      </c>
      <c r="D237" s="3" t="s">
        <v>23</v>
      </c>
      <c r="E237" s="3">
        <v>29</v>
      </c>
      <c r="F237" s="3">
        <v>25000</v>
      </c>
      <c r="G237" s="3">
        <v>507500</v>
      </c>
      <c r="H237" s="3">
        <v>725000</v>
      </c>
      <c r="I237" s="3">
        <f t="shared" si="3"/>
        <v>242500</v>
      </c>
    </row>
    <row r="238" spans="1:9">
      <c r="A238" s="3" t="s">
        <v>114</v>
      </c>
      <c r="B238" s="3" t="s">
        <v>33</v>
      </c>
      <c r="C238" s="3" t="s">
        <v>11</v>
      </c>
      <c r="D238" s="3" t="s">
        <v>27</v>
      </c>
      <c r="E238" s="3">
        <v>35</v>
      </c>
      <c r="F238" s="3">
        <v>2200</v>
      </c>
      <c r="G238" s="3">
        <v>44660</v>
      </c>
      <c r="H238" s="3">
        <v>77000</v>
      </c>
      <c r="I238" s="3">
        <f t="shared" si="3"/>
        <v>34540</v>
      </c>
    </row>
    <row r="239" spans="1:9">
      <c r="A239" s="3" t="s">
        <v>210</v>
      </c>
      <c r="B239" s="3" t="s">
        <v>33</v>
      </c>
      <c r="C239" s="3" t="s">
        <v>11</v>
      </c>
      <c r="D239" s="3" t="s">
        <v>26</v>
      </c>
      <c r="E239" s="3">
        <v>18</v>
      </c>
      <c r="F239" s="3">
        <v>12000</v>
      </c>
      <c r="G239" s="3">
        <v>146880</v>
      </c>
      <c r="H239" s="3">
        <v>216000</v>
      </c>
      <c r="I239" s="3">
        <f t="shared" si="3"/>
        <v>81120</v>
      </c>
    </row>
    <row r="240" spans="1:9">
      <c r="A240" s="3" t="s">
        <v>74</v>
      </c>
      <c r="B240" s="3" t="s">
        <v>10</v>
      </c>
      <c r="C240" s="3" t="s">
        <v>44</v>
      </c>
      <c r="D240" s="3" t="s">
        <v>34</v>
      </c>
      <c r="E240" s="3">
        <v>43</v>
      </c>
      <c r="F240" s="3">
        <v>45000</v>
      </c>
      <c r="G240" s="3">
        <v>1354500</v>
      </c>
      <c r="H240" s="3">
        <v>1935000</v>
      </c>
      <c r="I240" s="3">
        <f t="shared" si="3"/>
        <v>625500</v>
      </c>
    </row>
    <row r="241" spans="1:9">
      <c r="A241" s="3" t="s">
        <v>45</v>
      </c>
      <c r="B241" s="3" t="s">
        <v>25</v>
      </c>
      <c r="C241" s="3" t="s">
        <v>11</v>
      </c>
      <c r="D241" s="3" t="s">
        <v>27</v>
      </c>
      <c r="E241" s="3">
        <v>16</v>
      </c>
      <c r="F241" s="3">
        <v>2200</v>
      </c>
      <c r="G241" s="3">
        <v>20416</v>
      </c>
      <c r="H241" s="3">
        <v>35200</v>
      </c>
      <c r="I241" s="3">
        <f t="shared" si="3"/>
        <v>16984</v>
      </c>
    </row>
    <row r="242" spans="1:9">
      <c r="A242" s="3" t="s">
        <v>182</v>
      </c>
      <c r="B242" s="3" t="s">
        <v>20</v>
      </c>
      <c r="C242" s="3" t="s">
        <v>11</v>
      </c>
      <c r="D242" s="3" t="s">
        <v>15</v>
      </c>
      <c r="E242" s="3">
        <v>14</v>
      </c>
      <c r="F242" s="3">
        <v>3500</v>
      </c>
      <c r="G242" s="3">
        <v>29400</v>
      </c>
      <c r="H242" s="3">
        <v>49000</v>
      </c>
      <c r="I242" s="3">
        <f t="shared" si="3"/>
        <v>23100</v>
      </c>
    </row>
    <row r="243" spans="1:9">
      <c r="A243" s="3" t="s">
        <v>194</v>
      </c>
      <c r="B243" s="3" t="s">
        <v>20</v>
      </c>
      <c r="C243" s="3" t="s">
        <v>22</v>
      </c>
      <c r="D243" s="3" t="s">
        <v>27</v>
      </c>
      <c r="E243" s="3">
        <v>50</v>
      </c>
      <c r="F243" s="3">
        <v>2200</v>
      </c>
      <c r="G243" s="3">
        <v>63800</v>
      </c>
      <c r="H243" s="3">
        <v>110000</v>
      </c>
      <c r="I243" s="3">
        <f t="shared" si="3"/>
        <v>48400</v>
      </c>
    </row>
    <row r="244" spans="1:9">
      <c r="A244" s="3" t="s">
        <v>116</v>
      </c>
      <c r="B244" s="3" t="s">
        <v>25</v>
      </c>
      <c r="C244" s="3" t="s">
        <v>36</v>
      </c>
      <c r="D244" s="3" t="s">
        <v>51</v>
      </c>
      <c r="E244" s="3">
        <v>9</v>
      </c>
      <c r="F244" s="3">
        <v>15000</v>
      </c>
      <c r="G244" s="3">
        <v>87750</v>
      </c>
      <c r="H244" s="3">
        <v>135000</v>
      </c>
      <c r="I244" s="3">
        <f t="shared" si="3"/>
        <v>62250</v>
      </c>
    </row>
    <row r="245" spans="1:9">
      <c r="A245" s="3" t="s">
        <v>167</v>
      </c>
      <c r="B245" s="3" t="s">
        <v>30</v>
      </c>
      <c r="C245" s="3" t="s">
        <v>22</v>
      </c>
      <c r="D245" s="3" t="s">
        <v>34</v>
      </c>
      <c r="E245" s="3">
        <v>43</v>
      </c>
      <c r="F245" s="3">
        <v>45000</v>
      </c>
      <c r="G245" s="3">
        <v>1354500</v>
      </c>
      <c r="H245" s="3">
        <v>1935000</v>
      </c>
      <c r="I245" s="3">
        <f t="shared" si="3"/>
        <v>625500</v>
      </c>
    </row>
    <row r="246" spans="1:9">
      <c r="A246" s="3" t="s">
        <v>139</v>
      </c>
      <c r="B246" s="3" t="s">
        <v>14</v>
      </c>
      <c r="C246" s="3" t="s">
        <v>11</v>
      </c>
      <c r="D246" s="3" t="s">
        <v>27</v>
      </c>
      <c r="E246" s="3">
        <v>16</v>
      </c>
      <c r="F246" s="3">
        <v>2200</v>
      </c>
      <c r="G246" s="3">
        <v>20416</v>
      </c>
      <c r="H246" s="3">
        <v>35200</v>
      </c>
      <c r="I246" s="3">
        <f t="shared" si="3"/>
        <v>16984</v>
      </c>
    </row>
    <row r="247" spans="1:9">
      <c r="A247" s="3" t="s">
        <v>211</v>
      </c>
      <c r="B247" s="3" t="s">
        <v>33</v>
      </c>
      <c r="C247" s="3" t="s">
        <v>11</v>
      </c>
      <c r="D247" s="3" t="s">
        <v>51</v>
      </c>
      <c r="E247" s="3">
        <v>17</v>
      </c>
      <c r="F247" s="3">
        <v>15000</v>
      </c>
      <c r="G247" s="3">
        <v>165750</v>
      </c>
      <c r="H247" s="3">
        <v>255000</v>
      </c>
      <c r="I247" s="3">
        <f t="shared" si="3"/>
        <v>104250</v>
      </c>
    </row>
    <row r="248" spans="1:9">
      <c r="A248" s="3" t="s">
        <v>174</v>
      </c>
      <c r="B248" s="3" t="s">
        <v>14</v>
      </c>
      <c r="C248" s="3" t="s">
        <v>44</v>
      </c>
      <c r="D248" s="3" t="s">
        <v>15</v>
      </c>
      <c r="E248" s="3">
        <v>8</v>
      </c>
      <c r="F248" s="3">
        <v>3500</v>
      </c>
      <c r="G248" s="3">
        <v>16800</v>
      </c>
      <c r="H248" s="3">
        <v>28000</v>
      </c>
      <c r="I248" s="3">
        <f t="shared" si="3"/>
        <v>14700</v>
      </c>
    </row>
    <row r="249" spans="1:9">
      <c r="A249" s="3" t="s">
        <v>212</v>
      </c>
      <c r="B249" s="3" t="s">
        <v>47</v>
      </c>
      <c r="C249" s="3" t="s">
        <v>44</v>
      </c>
      <c r="D249" s="3" t="s">
        <v>27</v>
      </c>
      <c r="E249" s="3">
        <v>33</v>
      </c>
      <c r="F249" s="3">
        <v>2200</v>
      </c>
      <c r="G249" s="3">
        <v>42108</v>
      </c>
      <c r="H249" s="3">
        <v>72600</v>
      </c>
      <c r="I249" s="3">
        <f t="shared" si="3"/>
        <v>32692</v>
      </c>
    </row>
    <row r="250" spans="1:9">
      <c r="A250" s="3" t="s">
        <v>144</v>
      </c>
      <c r="B250" s="3" t="s">
        <v>10</v>
      </c>
      <c r="C250" s="3" t="s">
        <v>44</v>
      </c>
      <c r="D250" s="3" t="s">
        <v>15</v>
      </c>
      <c r="E250" s="3">
        <v>15</v>
      </c>
      <c r="F250" s="3">
        <v>3500</v>
      </c>
      <c r="G250" s="3">
        <v>31500</v>
      </c>
      <c r="H250" s="3">
        <v>52500</v>
      </c>
      <c r="I250" s="3">
        <f t="shared" si="3"/>
        <v>24500</v>
      </c>
    </row>
    <row r="251" spans="1:9">
      <c r="A251" s="3" t="s">
        <v>213</v>
      </c>
      <c r="B251" s="3" t="s">
        <v>25</v>
      </c>
      <c r="C251" s="3" t="s">
        <v>36</v>
      </c>
      <c r="D251" s="3" t="s">
        <v>23</v>
      </c>
      <c r="E251" s="3">
        <v>42</v>
      </c>
      <c r="F251" s="3">
        <v>25000</v>
      </c>
      <c r="G251" s="3">
        <v>735000</v>
      </c>
      <c r="H251" s="3">
        <v>1050000</v>
      </c>
      <c r="I251" s="3">
        <f t="shared" si="3"/>
        <v>340000</v>
      </c>
    </row>
    <row r="252" spans="1:9">
      <c r="A252" s="3" t="s">
        <v>214</v>
      </c>
      <c r="B252" s="3" t="s">
        <v>25</v>
      </c>
      <c r="C252" s="3" t="s">
        <v>44</v>
      </c>
      <c r="D252" s="3" t="s">
        <v>26</v>
      </c>
      <c r="E252" s="3">
        <v>28</v>
      </c>
      <c r="F252" s="3">
        <v>12000</v>
      </c>
      <c r="G252" s="3">
        <v>228480</v>
      </c>
      <c r="H252" s="3">
        <v>336000</v>
      </c>
      <c r="I252" s="3">
        <f t="shared" si="3"/>
        <v>119520</v>
      </c>
    </row>
    <row r="253" spans="1:9">
      <c r="A253" s="3" t="s">
        <v>92</v>
      </c>
      <c r="B253" s="3" t="s">
        <v>10</v>
      </c>
      <c r="C253" s="3" t="s">
        <v>44</v>
      </c>
      <c r="D253" s="3" t="s">
        <v>23</v>
      </c>
      <c r="E253" s="3">
        <v>5</v>
      </c>
      <c r="F253" s="3">
        <v>25000</v>
      </c>
      <c r="G253" s="3">
        <v>87500</v>
      </c>
      <c r="H253" s="3">
        <v>125000</v>
      </c>
      <c r="I253" s="3">
        <f t="shared" si="3"/>
        <v>62500</v>
      </c>
    </row>
    <row r="254" spans="1:9">
      <c r="A254" s="3" t="s">
        <v>82</v>
      </c>
      <c r="B254" s="3" t="s">
        <v>33</v>
      </c>
      <c r="C254" s="3" t="s">
        <v>22</v>
      </c>
      <c r="D254" s="3" t="s">
        <v>34</v>
      </c>
      <c r="E254" s="3">
        <v>9</v>
      </c>
      <c r="F254" s="3">
        <v>45000</v>
      </c>
      <c r="G254" s="3">
        <v>283500</v>
      </c>
      <c r="H254" s="3">
        <v>405000</v>
      </c>
      <c r="I254" s="3">
        <f t="shared" si="3"/>
        <v>166500</v>
      </c>
    </row>
    <row r="255" spans="1:9">
      <c r="A255" s="3" t="s">
        <v>215</v>
      </c>
      <c r="B255" s="3" t="s">
        <v>33</v>
      </c>
      <c r="C255" s="3" t="s">
        <v>44</v>
      </c>
      <c r="D255" s="3" t="s">
        <v>40</v>
      </c>
      <c r="E255" s="3">
        <v>34</v>
      </c>
      <c r="F255" s="3">
        <v>6000</v>
      </c>
      <c r="G255" s="3">
        <v>126480</v>
      </c>
      <c r="H255" s="3">
        <v>204000</v>
      </c>
      <c r="I255" s="3">
        <f t="shared" si="3"/>
        <v>83520</v>
      </c>
    </row>
    <row r="256" spans="1:9">
      <c r="A256" s="3" t="s">
        <v>55</v>
      </c>
      <c r="B256" s="3" t="s">
        <v>47</v>
      </c>
      <c r="C256" s="3" t="s">
        <v>44</v>
      </c>
      <c r="D256" s="3" t="s">
        <v>34</v>
      </c>
      <c r="E256" s="3">
        <v>45</v>
      </c>
      <c r="F256" s="3">
        <v>45000</v>
      </c>
      <c r="G256" s="3">
        <v>1417500</v>
      </c>
      <c r="H256" s="3">
        <v>2025000</v>
      </c>
      <c r="I256" s="3">
        <f t="shared" si="3"/>
        <v>652500</v>
      </c>
    </row>
    <row r="257" spans="1:9">
      <c r="A257" s="3" t="s">
        <v>138</v>
      </c>
      <c r="B257" s="3" t="s">
        <v>20</v>
      </c>
      <c r="C257" s="3" t="s">
        <v>44</v>
      </c>
      <c r="D257" s="3" t="s">
        <v>23</v>
      </c>
      <c r="E257" s="3">
        <v>15</v>
      </c>
      <c r="F257" s="3">
        <v>25000</v>
      </c>
      <c r="G257" s="3">
        <v>262500</v>
      </c>
      <c r="H257" s="3">
        <v>375000</v>
      </c>
      <c r="I257" s="3">
        <f t="shared" si="3"/>
        <v>137500</v>
      </c>
    </row>
    <row r="258" spans="1:9">
      <c r="A258" s="3" t="s">
        <v>216</v>
      </c>
      <c r="B258" s="3" t="s">
        <v>33</v>
      </c>
      <c r="C258" s="3" t="s">
        <v>44</v>
      </c>
      <c r="D258" s="3" t="s">
        <v>26</v>
      </c>
      <c r="E258" s="3">
        <v>27</v>
      </c>
      <c r="F258" s="3">
        <v>12000</v>
      </c>
      <c r="G258" s="3">
        <v>220320</v>
      </c>
      <c r="H258" s="3">
        <v>324000</v>
      </c>
      <c r="I258" s="3">
        <f t="shared" si="3"/>
        <v>115680</v>
      </c>
    </row>
    <row r="259" spans="1:9">
      <c r="A259" s="3" t="s">
        <v>71</v>
      </c>
      <c r="B259" s="3" t="s">
        <v>33</v>
      </c>
      <c r="C259" s="3" t="s">
        <v>44</v>
      </c>
      <c r="D259" s="3" t="s">
        <v>27</v>
      </c>
      <c r="E259" s="3">
        <v>43</v>
      </c>
      <c r="F259" s="3">
        <v>2200</v>
      </c>
      <c r="G259" s="3">
        <v>54868</v>
      </c>
      <c r="H259" s="3">
        <v>94600</v>
      </c>
      <c r="I259" s="3">
        <f t="shared" ref="I259:I322" si="4">H259-(G259-F259)</f>
        <v>41932</v>
      </c>
    </row>
    <row r="260" spans="1:9">
      <c r="A260" s="3" t="s">
        <v>107</v>
      </c>
      <c r="B260" s="3" t="s">
        <v>33</v>
      </c>
      <c r="C260" s="3" t="s">
        <v>22</v>
      </c>
      <c r="D260" s="3" t="s">
        <v>23</v>
      </c>
      <c r="E260" s="3">
        <v>5</v>
      </c>
      <c r="F260" s="3">
        <v>25000</v>
      </c>
      <c r="G260" s="3">
        <v>87500</v>
      </c>
      <c r="H260" s="3">
        <v>125000</v>
      </c>
      <c r="I260" s="3">
        <f t="shared" si="4"/>
        <v>62500</v>
      </c>
    </row>
    <row r="261" spans="1:9">
      <c r="A261" s="3" t="s">
        <v>50</v>
      </c>
      <c r="B261" s="3" t="s">
        <v>10</v>
      </c>
      <c r="C261" s="3" t="s">
        <v>11</v>
      </c>
      <c r="D261" s="3" t="s">
        <v>26</v>
      </c>
      <c r="E261" s="3">
        <v>7</v>
      </c>
      <c r="F261" s="3">
        <v>12000</v>
      </c>
      <c r="G261" s="3">
        <v>57120</v>
      </c>
      <c r="H261" s="3">
        <v>84000</v>
      </c>
      <c r="I261" s="3">
        <f t="shared" si="4"/>
        <v>38880</v>
      </c>
    </row>
    <row r="262" spans="1:9">
      <c r="A262" s="3" t="s">
        <v>217</v>
      </c>
      <c r="B262" s="3" t="s">
        <v>14</v>
      </c>
      <c r="C262" s="3" t="s">
        <v>11</v>
      </c>
      <c r="D262" s="3" t="s">
        <v>40</v>
      </c>
      <c r="E262" s="3">
        <v>36</v>
      </c>
      <c r="F262" s="3">
        <v>6000</v>
      </c>
      <c r="G262" s="3">
        <v>133920</v>
      </c>
      <c r="H262" s="3">
        <v>216000</v>
      </c>
      <c r="I262" s="3">
        <f t="shared" si="4"/>
        <v>88080</v>
      </c>
    </row>
    <row r="263" spans="1:9">
      <c r="A263" s="3" t="s">
        <v>204</v>
      </c>
      <c r="B263" s="3" t="s">
        <v>33</v>
      </c>
      <c r="C263" s="3" t="s">
        <v>11</v>
      </c>
      <c r="D263" s="3" t="s">
        <v>26</v>
      </c>
      <c r="E263" s="3">
        <v>23</v>
      </c>
      <c r="F263" s="3">
        <v>12000</v>
      </c>
      <c r="G263" s="3">
        <v>187680</v>
      </c>
      <c r="H263" s="3">
        <v>276000</v>
      </c>
      <c r="I263" s="3">
        <f t="shared" si="4"/>
        <v>100320</v>
      </c>
    </row>
    <row r="264" spans="1:9">
      <c r="A264" s="3" t="s">
        <v>109</v>
      </c>
      <c r="B264" s="3" t="s">
        <v>17</v>
      </c>
      <c r="C264" s="3" t="s">
        <v>11</v>
      </c>
      <c r="D264" s="3" t="s">
        <v>12</v>
      </c>
      <c r="E264" s="3">
        <v>39</v>
      </c>
      <c r="F264" s="3">
        <v>800</v>
      </c>
      <c r="G264" s="3">
        <v>15600</v>
      </c>
      <c r="H264" s="3">
        <v>31200</v>
      </c>
      <c r="I264" s="3">
        <f t="shared" si="4"/>
        <v>16400</v>
      </c>
    </row>
    <row r="265" spans="1:9">
      <c r="A265" s="3" t="s">
        <v>218</v>
      </c>
      <c r="B265" s="3" t="s">
        <v>33</v>
      </c>
      <c r="C265" s="3" t="s">
        <v>11</v>
      </c>
      <c r="D265" s="3" t="s">
        <v>40</v>
      </c>
      <c r="E265" s="3">
        <v>33</v>
      </c>
      <c r="F265" s="3">
        <v>6000</v>
      </c>
      <c r="G265" s="3">
        <v>122760</v>
      </c>
      <c r="H265" s="3">
        <v>198000</v>
      </c>
      <c r="I265" s="3">
        <f t="shared" si="4"/>
        <v>81240</v>
      </c>
    </row>
    <row r="266" spans="1:9">
      <c r="A266" s="3" t="s">
        <v>45</v>
      </c>
      <c r="B266" s="3" t="s">
        <v>14</v>
      </c>
      <c r="C266" s="3" t="s">
        <v>44</v>
      </c>
      <c r="D266" s="3" t="s">
        <v>60</v>
      </c>
      <c r="E266" s="3">
        <v>7</v>
      </c>
      <c r="F266" s="3">
        <v>1500</v>
      </c>
      <c r="G266" s="3">
        <v>5775</v>
      </c>
      <c r="H266" s="3">
        <v>10500</v>
      </c>
      <c r="I266" s="3">
        <f t="shared" si="4"/>
        <v>6225</v>
      </c>
    </row>
    <row r="267" spans="1:9">
      <c r="A267" s="3" t="s">
        <v>219</v>
      </c>
      <c r="B267" s="3" t="s">
        <v>33</v>
      </c>
      <c r="C267" s="3" t="s">
        <v>11</v>
      </c>
      <c r="D267" s="3" t="s">
        <v>12</v>
      </c>
      <c r="E267" s="3">
        <v>37</v>
      </c>
      <c r="F267" s="3">
        <v>800</v>
      </c>
      <c r="G267" s="3">
        <v>14800</v>
      </c>
      <c r="H267" s="3">
        <v>29600</v>
      </c>
      <c r="I267" s="3">
        <f t="shared" si="4"/>
        <v>15600</v>
      </c>
    </row>
    <row r="268" spans="1:9">
      <c r="A268" s="3" t="s">
        <v>220</v>
      </c>
      <c r="B268" s="3" t="s">
        <v>17</v>
      </c>
      <c r="C268" s="3" t="s">
        <v>11</v>
      </c>
      <c r="D268" s="3" t="s">
        <v>40</v>
      </c>
      <c r="E268" s="3">
        <v>43</v>
      </c>
      <c r="F268" s="3">
        <v>6000</v>
      </c>
      <c r="G268" s="3">
        <v>159960</v>
      </c>
      <c r="H268" s="3">
        <v>258000</v>
      </c>
      <c r="I268" s="3">
        <f t="shared" si="4"/>
        <v>104040</v>
      </c>
    </row>
    <row r="269" spans="1:9">
      <c r="A269" s="3" t="s">
        <v>221</v>
      </c>
      <c r="B269" s="3" t="s">
        <v>30</v>
      </c>
      <c r="C269" s="3" t="s">
        <v>11</v>
      </c>
      <c r="D269" s="3" t="s">
        <v>51</v>
      </c>
      <c r="E269" s="3">
        <v>18</v>
      </c>
      <c r="F269" s="3">
        <v>15000</v>
      </c>
      <c r="G269" s="3">
        <v>175500</v>
      </c>
      <c r="H269" s="3">
        <v>270000</v>
      </c>
      <c r="I269" s="3">
        <f t="shared" si="4"/>
        <v>109500</v>
      </c>
    </row>
    <row r="270" spans="1:9">
      <c r="A270" s="3" t="s">
        <v>100</v>
      </c>
      <c r="B270" s="3" t="s">
        <v>30</v>
      </c>
      <c r="C270" s="3" t="s">
        <v>36</v>
      </c>
      <c r="D270" s="3" t="s">
        <v>27</v>
      </c>
      <c r="E270" s="3">
        <v>1</v>
      </c>
      <c r="F270" s="3">
        <v>2200</v>
      </c>
      <c r="G270" s="3">
        <v>1276</v>
      </c>
      <c r="H270" s="3">
        <v>2200</v>
      </c>
      <c r="I270" s="3">
        <f t="shared" si="4"/>
        <v>3124</v>
      </c>
    </row>
    <row r="271" spans="1:9">
      <c r="A271" s="3" t="s">
        <v>191</v>
      </c>
      <c r="B271" s="3" t="s">
        <v>14</v>
      </c>
      <c r="C271" s="3" t="s">
        <v>44</v>
      </c>
      <c r="D271" s="3" t="s">
        <v>34</v>
      </c>
      <c r="E271" s="3">
        <v>10</v>
      </c>
      <c r="F271" s="3">
        <v>45000</v>
      </c>
      <c r="G271" s="3">
        <v>315000</v>
      </c>
      <c r="H271" s="3">
        <v>450000</v>
      </c>
      <c r="I271" s="3">
        <f t="shared" si="4"/>
        <v>180000</v>
      </c>
    </row>
    <row r="272" spans="1:9">
      <c r="A272" s="3" t="s">
        <v>222</v>
      </c>
      <c r="B272" s="3" t="s">
        <v>25</v>
      </c>
      <c r="C272" s="3" t="s">
        <v>11</v>
      </c>
      <c r="D272" s="3" t="s">
        <v>15</v>
      </c>
      <c r="E272" s="3">
        <v>14</v>
      </c>
      <c r="F272" s="3">
        <v>3500</v>
      </c>
      <c r="G272" s="3">
        <v>29400</v>
      </c>
      <c r="H272" s="3">
        <v>49000</v>
      </c>
      <c r="I272" s="3">
        <f t="shared" si="4"/>
        <v>23100</v>
      </c>
    </row>
    <row r="273" spans="1:9">
      <c r="A273" s="3" t="s">
        <v>223</v>
      </c>
      <c r="B273" s="3" t="s">
        <v>17</v>
      </c>
      <c r="C273" s="3" t="s">
        <v>44</v>
      </c>
      <c r="D273" s="3" t="s">
        <v>27</v>
      </c>
      <c r="E273" s="3">
        <v>11</v>
      </c>
      <c r="F273" s="3">
        <v>2200</v>
      </c>
      <c r="G273" s="3">
        <v>14036</v>
      </c>
      <c r="H273" s="3">
        <v>24200</v>
      </c>
      <c r="I273" s="3">
        <f t="shared" si="4"/>
        <v>12364</v>
      </c>
    </row>
    <row r="274" spans="1:9">
      <c r="A274" s="3" t="s">
        <v>208</v>
      </c>
      <c r="B274" s="3" t="s">
        <v>30</v>
      </c>
      <c r="C274" s="3" t="s">
        <v>36</v>
      </c>
      <c r="D274" s="3" t="s">
        <v>40</v>
      </c>
      <c r="E274" s="3">
        <v>39</v>
      </c>
      <c r="F274" s="3">
        <v>6000</v>
      </c>
      <c r="G274" s="3">
        <v>145080</v>
      </c>
      <c r="H274" s="3">
        <v>234000</v>
      </c>
      <c r="I274" s="3">
        <f t="shared" si="4"/>
        <v>94920</v>
      </c>
    </row>
    <row r="275" spans="1:9">
      <c r="A275" s="3" t="s">
        <v>113</v>
      </c>
      <c r="B275" s="3" t="s">
        <v>25</v>
      </c>
      <c r="C275" s="3" t="s">
        <v>22</v>
      </c>
      <c r="D275" s="3" t="s">
        <v>51</v>
      </c>
      <c r="E275" s="3">
        <v>49</v>
      </c>
      <c r="F275" s="3">
        <v>15000</v>
      </c>
      <c r="G275" s="3">
        <v>477750</v>
      </c>
      <c r="H275" s="3">
        <v>735000</v>
      </c>
      <c r="I275" s="3">
        <f t="shared" si="4"/>
        <v>272250</v>
      </c>
    </row>
    <row r="276" spans="1:9">
      <c r="A276" s="3" t="s">
        <v>224</v>
      </c>
      <c r="B276" s="3" t="s">
        <v>25</v>
      </c>
      <c r="C276" s="3" t="s">
        <v>11</v>
      </c>
      <c r="D276" s="3" t="s">
        <v>12</v>
      </c>
      <c r="E276" s="3">
        <v>29</v>
      </c>
      <c r="F276" s="3">
        <v>800</v>
      </c>
      <c r="G276" s="3">
        <v>11600</v>
      </c>
      <c r="H276" s="3">
        <v>23200</v>
      </c>
      <c r="I276" s="3">
        <f t="shared" si="4"/>
        <v>12400</v>
      </c>
    </row>
    <row r="277" spans="1:9">
      <c r="A277" s="3" t="s">
        <v>35</v>
      </c>
      <c r="B277" s="3" t="s">
        <v>17</v>
      </c>
      <c r="C277" s="3" t="s">
        <v>44</v>
      </c>
      <c r="D277" s="3" t="s">
        <v>40</v>
      </c>
      <c r="E277" s="3">
        <v>29</v>
      </c>
      <c r="F277" s="3">
        <v>6000</v>
      </c>
      <c r="G277" s="3">
        <v>107880</v>
      </c>
      <c r="H277" s="3">
        <v>174000</v>
      </c>
      <c r="I277" s="3">
        <f t="shared" si="4"/>
        <v>72120</v>
      </c>
    </row>
    <row r="278" spans="1:9">
      <c r="A278" s="3" t="s">
        <v>179</v>
      </c>
      <c r="B278" s="3" t="s">
        <v>30</v>
      </c>
      <c r="C278" s="3" t="s">
        <v>22</v>
      </c>
      <c r="D278" s="3" t="s">
        <v>15</v>
      </c>
      <c r="E278" s="3">
        <v>8</v>
      </c>
      <c r="F278" s="3">
        <v>3500</v>
      </c>
      <c r="G278" s="3">
        <v>16800</v>
      </c>
      <c r="H278" s="3">
        <v>28000</v>
      </c>
      <c r="I278" s="3">
        <f t="shared" si="4"/>
        <v>14700</v>
      </c>
    </row>
    <row r="279" spans="1:9">
      <c r="A279" s="3" t="s">
        <v>149</v>
      </c>
      <c r="B279" s="3" t="s">
        <v>17</v>
      </c>
      <c r="C279" s="3" t="s">
        <v>11</v>
      </c>
      <c r="D279" s="3" t="s">
        <v>12</v>
      </c>
      <c r="E279" s="3">
        <v>44</v>
      </c>
      <c r="F279" s="3">
        <v>800</v>
      </c>
      <c r="G279" s="3">
        <v>17600</v>
      </c>
      <c r="H279" s="3">
        <v>35200</v>
      </c>
      <c r="I279" s="3">
        <f t="shared" si="4"/>
        <v>18400</v>
      </c>
    </row>
    <row r="280" spans="1:9">
      <c r="A280" s="3" t="s">
        <v>225</v>
      </c>
      <c r="B280" s="3" t="s">
        <v>47</v>
      </c>
      <c r="C280" s="3" t="s">
        <v>36</v>
      </c>
      <c r="D280" s="3" t="s">
        <v>18</v>
      </c>
      <c r="E280" s="3">
        <v>15</v>
      </c>
      <c r="F280" s="3">
        <v>55000</v>
      </c>
      <c r="G280" s="3">
        <v>594000</v>
      </c>
      <c r="H280" s="3">
        <v>825000</v>
      </c>
      <c r="I280" s="3">
        <f t="shared" si="4"/>
        <v>286000</v>
      </c>
    </row>
    <row r="281" spans="1:9">
      <c r="A281" s="3" t="s">
        <v>226</v>
      </c>
      <c r="B281" s="3" t="s">
        <v>25</v>
      </c>
      <c r="C281" s="3" t="s">
        <v>11</v>
      </c>
      <c r="D281" s="3" t="s">
        <v>60</v>
      </c>
      <c r="E281" s="3">
        <v>20</v>
      </c>
      <c r="F281" s="3">
        <v>1500</v>
      </c>
      <c r="G281" s="3">
        <v>16500</v>
      </c>
      <c r="H281" s="3">
        <v>30000</v>
      </c>
      <c r="I281" s="3">
        <f t="shared" si="4"/>
        <v>15000</v>
      </c>
    </row>
    <row r="282" spans="1:9">
      <c r="A282" s="3" t="s">
        <v>45</v>
      </c>
      <c r="B282" s="3" t="s">
        <v>14</v>
      </c>
      <c r="C282" s="3" t="s">
        <v>36</v>
      </c>
      <c r="D282" s="3" t="s">
        <v>12</v>
      </c>
      <c r="E282" s="3">
        <v>21</v>
      </c>
      <c r="F282" s="3">
        <v>800</v>
      </c>
      <c r="G282" s="3">
        <v>8400</v>
      </c>
      <c r="H282" s="3">
        <v>16800</v>
      </c>
      <c r="I282" s="3">
        <f t="shared" si="4"/>
        <v>9200</v>
      </c>
    </row>
    <row r="283" spans="1:9">
      <c r="A283" s="3" t="s">
        <v>65</v>
      </c>
      <c r="B283" s="3" t="s">
        <v>25</v>
      </c>
      <c r="C283" s="3" t="s">
        <v>44</v>
      </c>
      <c r="D283" s="3" t="s">
        <v>26</v>
      </c>
      <c r="E283" s="3">
        <v>12</v>
      </c>
      <c r="F283" s="3">
        <v>12000</v>
      </c>
      <c r="G283" s="3">
        <v>97920</v>
      </c>
      <c r="H283" s="3">
        <v>144000</v>
      </c>
      <c r="I283" s="3">
        <f t="shared" si="4"/>
        <v>58080</v>
      </c>
    </row>
    <row r="284" spans="1:9">
      <c r="A284" s="3" t="s">
        <v>227</v>
      </c>
      <c r="B284" s="3" t="s">
        <v>17</v>
      </c>
      <c r="C284" s="3" t="s">
        <v>22</v>
      </c>
      <c r="D284" s="3" t="s">
        <v>15</v>
      </c>
      <c r="E284" s="3">
        <v>36</v>
      </c>
      <c r="F284" s="3">
        <v>3500</v>
      </c>
      <c r="G284" s="3">
        <v>75600</v>
      </c>
      <c r="H284" s="3">
        <v>126000</v>
      </c>
      <c r="I284" s="3">
        <f t="shared" si="4"/>
        <v>53900</v>
      </c>
    </row>
    <row r="285" spans="1:9">
      <c r="A285" s="3" t="s">
        <v>130</v>
      </c>
      <c r="B285" s="3" t="s">
        <v>33</v>
      </c>
      <c r="C285" s="3" t="s">
        <v>11</v>
      </c>
      <c r="D285" s="3" t="s">
        <v>26</v>
      </c>
      <c r="E285" s="3">
        <v>48</v>
      </c>
      <c r="F285" s="3">
        <v>12000</v>
      </c>
      <c r="G285" s="3">
        <v>391680</v>
      </c>
      <c r="H285" s="3">
        <v>576000</v>
      </c>
      <c r="I285" s="3">
        <f t="shared" si="4"/>
        <v>196320</v>
      </c>
    </row>
    <row r="286" spans="1:9">
      <c r="A286" s="3" t="s">
        <v>228</v>
      </c>
      <c r="B286" s="3" t="s">
        <v>17</v>
      </c>
      <c r="C286" s="3" t="s">
        <v>11</v>
      </c>
      <c r="D286" s="3" t="s">
        <v>23</v>
      </c>
      <c r="E286" s="3">
        <v>5</v>
      </c>
      <c r="F286" s="3">
        <v>25000</v>
      </c>
      <c r="G286" s="3">
        <v>87500</v>
      </c>
      <c r="H286" s="3">
        <v>125000</v>
      </c>
      <c r="I286" s="3">
        <f t="shared" si="4"/>
        <v>62500</v>
      </c>
    </row>
    <row r="287" spans="1:9">
      <c r="A287" s="3" t="s">
        <v>85</v>
      </c>
      <c r="B287" s="3" t="s">
        <v>17</v>
      </c>
      <c r="C287" s="3" t="s">
        <v>44</v>
      </c>
      <c r="D287" s="3" t="s">
        <v>26</v>
      </c>
      <c r="E287" s="3">
        <v>19</v>
      </c>
      <c r="F287" s="3">
        <v>12000</v>
      </c>
      <c r="G287" s="3">
        <v>155040</v>
      </c>
      <c r="H287" s="3">
        <v>228000</v>
      </c>
      <c r="I287" s="3">
        <f t="shared" si="4"/>
        <v>84960</v>
      </c>
    </row>
    <row r="288" spans="1:9">
      <c r="A288" s="3" t="s">
        <v>138</v>
      </c>
      <c r="B288" s="3" t="s">
        <v>17</v>
      </c>
      <c r="C288" s="3" t="s">
        <v>11</v>
      </c>
      <c r="D288" s="3" t="s">
        <v>27</v>
      </c>
      <c r="E288" s="3">
        <v>11</v>
      </c>
      <c r="F288" s="3">
        <v>2200</v>
      </c>
      <c r="G288" s="3">
        <v>14036</v>
      </c>
      <c r="H288" s="3">
        <v>24200</v>
      </c>
      <c r="I288" s="3">
        <f t="shared" si="4"/>
        <v>12364</v>
      </c>
    </row>
    <row r="289" spans="1:9">
      <c r="A289" s="3" t="s">
        <v>224</v>
      </c>
      <c r="B289" s="3" t="s">
        <v>47</v>
      </c>
      <c r="C289" s="3" t="s">
        <v>36</v>
      </c>
      <c r="D289" s="3" t="s">
        <v>34</v>
      </c>
      <c r="E289" s="3">
        <v>28</v>
      </c>
      <c r="F289" s="3">
        <v>45000</v>
      </c>
      <c r="G289" s="3">
        <v>882000</v>
      </c>
      <c r="H289" s="3">
        <v>1260000</v>
      </c>
      <c r="I289" s="3">
        <f t="shared" si="4"/>
        <v>423000</v>
      </c>
    </row>
    <row r="290" spans="1:9">
      <c r="A290" s="3" t="s">
        <v>229</v>
      </c>
      <c r="B290" s="3" t="s">
        <v>20</v>
      </c>
      <c r="C290" s="3" t="s">
        <v>44</v>
      </c>
      <c r="D290" s="3" t="s">
        <v>40</v>
      </c>
      <c r="E290" s="3">
        <v>26</v>
      </c>
      <c r="F290" s="3">
        <v>6000</v>
      </c>
      <c r="G290" s="3">
        <v>96720</v>
      </c>
      <c r="H290" s="3">
        <v>156000</v>
      </c>
      <c r="I290" s="3">
        <f t="shared" si="4"/>
        <v>65280</v>
      </c>
    </row>
    <row r="291" spans="1:9">
      <c r="A291" s="3" t="s">
        <v>230</v>
      </c>
      <c r="B291" s="3" t="s">
        <v>10</v>
      </c>
      <c r="C291" s="3" t="s">
        <v>44</v>
      </c>
      <c r="D291" s="3" t="s">
        <v>12</v>
      </c>
      <c r="E291" s="3">
        <v>48</v>
      </c>
      <c r="F291" s="3">
        <v>800</v>
      </c>
      <c r="G291" s="3">
        <v>19200</v>
      </c>
      <c r="H291" s="3">
        <v>38400</v>
      </c>
      <c r="I291" s="3">
        <f t="shared" si="4"/>
        <v>20000</v>
      </c>
    </row>
    <row r="292" spans="1:9">
      <c r="A292" s="3" t="s">
        <v>185</v>
      </c>
      <c r="B292" s="3" t="s">
        <v>20</v>
      </c>
      <c r="C292" s="3" t="s">
        <v>36</v>
      </c>
      <c r="D292" s="3" t="s">
        <v>51</v>
      </c>
      <c r="E292" s="3">
        <v>5</v>
      </c>
      <c r="F292" s="3">
        <v>15000</v>
      </c>
      <c r="G292" s="3">
        <v>48750</v>
      </c>
      <c r="H292" s="3">
        <v>75000</v>
      </c>
      <c r="I292" s="3">
        <f t="shared" si="4"/>
        <v>41250</v>
      </c>
    </row>
    <row r="293" spans="1:9">
      <c r="A293" s="3" t="s">
        <v>231</v>
      </c>
      <c r="B293" s="3" t="s">
        <v>10</v>
      </c>
      <c r="C293" s="3" t="s">
        <v>22</v>
      </c>
      <c r="D293" s="3" t="s">
        <v>27</v>
      </c>
      <c r="E293" s="3">
        <v>23</v>
      </c>
      <c r="F293" s="3">
        <v>2200</v>
      </c>
      <c r="G293" s="3">
        <v>29348</v>
      </c>
      <c r="H293" s="3">
        <v>50600</v>
      </c>
      <c r="I293" s="3">
        <f t="shared" si="4"/>
        <v>23452</v>
      </c>
    </row>
    <row r="294" spans="1:9">
      <c r="A294" s="3" t="s">
        <v>210</v>
      </c>
      <c r="B294" s="3" t="s">
        <v>14</v>
      </c>
      <c r="C294" s="3" t="s">
        <v>22</v>
      </c>
      <c r="D294" s="3" t="s">
        <v>34</v>
      </c>
      <c r="E294" s="3">
        <v>10</v>
      </c>
      <c r="F294" s="3">
        <v>45000</v>
      </c>
      <c r="G294" s="3">
        <v>315000</v>
      </c>
      <c r="H294" s="3">
        <v>450000</v>
      </c>
      <c r="I294" s="3">
        <f t="shared" si="4"/>
        <v>180000</v>
      </c>
    </row>
    <row r="295" spans="1:9">
      <c r="A295" s="3" t="s">
        <v>137</v>
      </c>
      <c r="B295" s="3" t="s">
        <v>20</v>
      </c>
      <c r="C295" s="3" t="s">
        <v>22</v>
      </c>
      <c r="D295" s="3" t="s">
        <v>40</v>
      </c>
      <c r="E295" s="3">
        <v>10</v>
      </c>
      <c r="F295" s="3">
        <v>6000</v>
      </c>
      <c r="G295" s="3">
        <v>37200</v>
      </c>
      <c r="H295" s="3">
        <v>60000</v>
      </c>
      <c r="I295" s="3">
        <f t="shared" si="4"/>
        <v>28800</v>
      </c>
    </row>
    <row r="296" spans="1:9">
      <c r="A296" s="3" t="s">
        <v>184</v>
      </c>
      <c r="B296" s="3" t="s">
        <v>10</v>
      </c>
      <c r="C296" s="3" t="s">
        <v>22</v>
      </c>
      <c r="D296" s="3" t="s">
        <v>23</v>
      </c>
      <c r="E296" s="3">
        <v>30</v>
      </c>
      <c r="F296" s="3">
        <v>25000</v>
      </c>
      <c r="G296" s="3">
        <v>525000</v>
      </c>
      <c r="H296" s="3">
        <v>750000</v>
      </c>
      <c r="I296" s="3">
        <f t="shared" si="4"/>
        <v>250000</v>
      </c>
    </row>
    <row r="297" spans="1:9">
      <c r="A297" s="3" t="s">
        <v>232</v>
      </c>
      <c r="B297" s="3" t="s">
        <v>47</v>
      </c>
      <c r="C297" s="3" t="s">
        <v>36</v>
      </c>
      <c r="D297" s="3" t="s">
        <v>27</v>
      </c>
      <c r="E297" s="3">
        <v>10</v>
      </c>
      <c r="F297" s="3">
        <v>2200</v>
      </c>
      <c r="G297" s="3">
        <v>12760</v>
      </c>
      <c r="H297" s="3">
        <v>22000</v>
      </c>
      <c r="I297" s="3">
        <f t="shared" si="4"/>
        <v>11440</v>
      </c>
    </row>
    <row r="298" spans="1:9">
      <c r="A298" s="3" t="s">
        <v>200</v>
      </c>
      <c r="B298" s="3" t="s">
        <v>10</v>
      </c>
      <c r="C298" s="3" t="s">
        <v>44</v>
      </c>
      <c r="D298" s="3" t="s">
        <v>23</v>
      </c>
      <c r="E298" s="3">
        <v>41</v>
      </c>
      <c r="F298" s="3">
        <v>25000</v>
      </c>
      <c r="G298" s="3">
        <v>717500</v>
      </c>
      <c r="H298" s="3">
        <v>1025000</v>
      </c>
      <c r="I298" s="3">
        <f t="shared" si="4"/>
        <v>332500</v>
      </c>
    </row>
    <row r="299" spans="1:9">
      <c r="A299" s="3" t="s">
        <v>157</v>
      </c>
      <c r="B299" s="3" t="s">
        <v>30</v>
      </c>
      <c r="C299" s="3" t="s">
        <v>11</v>
      </c>
      <c r="D299" s="3" t="s">
        <v>27</v>
      </c>
      <c r="E299" s="3">
        <v>33</v>
      </c>
      <c r="F299" s="3">
        <v>2200</v>
      </c>
      <c r="G299" s="3">
        <v>42108</v>
      </c>
      <c r="H299" s="3">
        <v>72600</v>
      </c>
      <c r="I299" s="3">
        <f t="shared" si="4"/>
        <v>32692</v>
      </c>
    </row>
    <row r="300" spans="1:9">
      <c r="A300" s="3" t="s">
        <v>86</v>
      </c>
      <c r="B300" s="3" t="s">
        <v>30</v>
      </c>
      <c r="C300" s="3" t="s">
        <v>44</v>
      </c>
      <c r="D300" s="3" t="s">
        <v>23</v>
      </c>
      <c r="E300" s="3">
        <v>3</v>
      </c>
      <c r="F300" s="3">
        <v>25000</v>
      </c>
      <c r="G300" s="3">
        <v>52500</v>
      </c>
      <c r="H300" s="3">
        <v>75000</v>
      </c>
      <c r="I300" s="3">
        <f t="shared" si="4"/>
        <v>47500</v>
      </c>
    </row>
    <row r="301" spans="1:9">
      <c r="A301" s="3" t="s">
        <v>233</v>
      </c>
      <c r="B301" s="3" t="s">
        <v>33</v>
      </c>
      <c r="C301" s="3" t="s">
        <v>36</v>
      </c>
      <c r="D301" s="3" t="s">
        <v>34</v>
      </c>
      <c r="E301" s="3">
        <v>42</v>
      </c>
      <c r="F301" s="3">
        <v>45000</v>
      </c>
      <c r="G301" s="3">
        <v>1323000</v>
      </c>
      <c r="H301" s="3">
        <v>1890000</v>
      </c>
      <c r="I301" s="3">
        <f t="shared" si="4"/>
        <v>612000</v>
      </c>
    </row>
    <row r="302" spans="1:9">
      <c r="A302" s="3" t="s">
        <v>50</v>
      </c>
      <c r="B302" s="3" t="s">
        <v>17</v>
      </c>
      <c r="C302" s="3" t="s">
        <v>44</v>
      </c>
      <c r="D302" s="3" t="s">
        <v>40</v>
      </c>
      <c r="E302" s="3">
        <v>36</v>
      </c>
      <c r="F302" s="3">
        <v>6000</v>
      </c>
      <c r="G302" s="3">
        <v>133920</v>
      </c>
      <c r="H302" s="3">
        <v>216000</v>
      </c>
      <c r="I302" s="3">
        <f t="shared" si="4"/>
        <v>88080</v>
      </c>
    </row>
    <row r="303" spans="1:9">
      <c r="A303" s="3" t="s">
        <v>228</v>
      </c>
      <c r="B303" s="3" t="s">
        <v>47</v>
      </c>
      <c r="C303" s="3" t="s">
        <v>22</v>
      </c>
      <c r="D303" s="3" t="s">
        <v>27</v>
      </c>
      <c r="E303" s="3">
        <v>39</v>
      </c>
      <c r="F303" s="3">
        <v>2200</v>
      </c>
      <c r="G303" s="3">
        <v>49764</v>
      </c>
      <c r="H303" s="3">
        <v>85800</v>
      </c>
      <c r="I303" s="3">
        <f t="shared" si="4"/>
        <v>38236</v>
      </c>
    </row>
    <row r="304" spans="1:9">
      <c r="A304" s="3" t="s">
        <v>120</v>
      </c>
      <c r="B304" s="3" t="s">
        <v>14</v>
      </c>
      <c r="C304" s="3" t="s">
        <v>11</v>
      </c>
      <c r="D304" s="3" t="s">
        <v>23</v>
      </c>
      <c r="E304" s="3">
        <v>7</v>
      </c>
      <c r="F304" s="3">
        <v>25000</v>
      </c>
      <c r="G304" s="3">
        <v>122500</v>
      </c>
      <c r="H304" s="3">
        <v>175000</v>
      </c>
      <c r="I304" s="3">
        <f t="shared" si="4"/>
        <v>77500</v>
      </c>
    </row>
    <row r="305" spans="1:9">
      <c r="A305" s="3" t="s">
        <v>234</v>
      </c>
      <c r="B305" s="3" t="s">
        <v>10</v>
      </c>
      <c r="C305" s="3" t="s">
        <v>22</v>
      </c>
      <c r="D305" s="3" t="s">
        <v>18</v>
      </c>
      <c r="E305" s="3">
        <v>16</v>
      </c>
      <c r="F305" s="3">
        <v>55000</v>
      </c>
      <c r="G305" s="3">
        <v>633600</v>
      </c>
      <c r="H305" s="3">
        <v>880000</v>
      </c>
      <c r="I305" s="3">
        <f t="shared" si="4"/>
        <v>301400</v>
      </c>
    </row>
    <row r="306" spans="1:9">
      <c r="A306" s="3" t="s">
        <v>67</v>
      </c>
      <c r="B306" s="3" t="s">
        <v>47</v>
      </c>
      <c r="C306" s="3" t="s">
        <v>44</v>
      </c>
      <c r="D306" s="3" t="s">
        <v>15</v>
      </c>
      <c r="E306" s="3">
        <v>34</v>
      </c>
      <c r="F306" s="3">
        <v>3500</v>
      </c>
      <c r="G306" s="3">
        <v>71400</v>
      </c>
      <c r="H306" s="3">
        <v>119000</v>
      </c>
      <c r="I306" s="3">
        <f t="shared" si="4"/>
        <v>51100</v>
      </c>
    </row>
    <row r="307" spans="1:9">
      <c r="A307" s="3" t="s">
        <v>145</v>
      </c>
      <c r="B307" s="3" t="s">
        <v>14</v>
      </c>
      <c r="C307" s="3" t="s">
        <v>36</v>
      </c>
      <c r="D307" s="3" t="s">
        <v>27</v>
      </c>
      <c r="E307" s="3">
        <v>19</v>
      </c>
      <c r="F307" s="3">
        <v>2200</v>
      </c>
      <c r="G307" s="3">
        <v>24244</v>
      </c>
      <c r="H307" s="3">
        <v>41800</v>
      </c>
      <c r="I307" s="3">
        <f t="shared" si="4"/>
        <v>19756</v>
      </c>
    </row>
    <row r="308" spans="1:9">
      <c r="A308" s="3" t="s">
        <v>235</v>
      </c>
      <c r="B308" s="3" t="s">
        <v>17</v>
      </c>
      <c r="C308" s="3" t="s">
        <v>36</v>
      </c>
      <c r="D308" s="3" t="s">
        <v>40</v>
      </c>
      <c r="E308" s="3">
        <v>4</v>
      </c>
      <c r="F308" s="3">
        <v>6000</v>
      </c>
      <c r="G308" s="3">
        <v>14880</v>
      </c>
      <c r="H308" s="3">
        <v>24000</v>
      </c>
      <c r="I308" s="3">
        <f t="shared" si="4"/>
        <v>15120</v>
      </c>
    </row>
    <row r="309" spans="1:9">
      <c r="A309" s="3" t="s">
        <v>236</v>
      </c>
      <c r="B309" s="3" t="s">
        <v>33</v>
      </c>
      <c r="C309" s="3" t="s">
        <v>11</v>
      </c>
      <c r="D309" s="3" t="s">
        <v>27</v>
      </c>
      <c r="E309" s="3">
        <v>7</v>
      </c>
      <c r="F309" s="3">
        <v>2200</v>
      </c>
      <c r="G309" s="3">
        <v>8932</v>
      </c>
      <c r="H309" s="3">
        <v>15400</v>
      </c>
      <c r="I309" s="3">
        <f t="shared" si="4"/>
        <v>8668</v>
      </c>
    </row>
    <row r="310" spans="1:9">
      <c r="A310" s="3" t="s">
        <v>237</v>
      </c>
      <c r="B310" s="3" t="s">
        <v>17</v>
      </c>
      <c r="C310" s="3" t="s">
        <v>36</v>
      </c>
      <c r="D310" s="3" t="s">
        <v>12</v>
      </c>
      <c r="E310" s="3">
        <v>47</v>
      </c>
      <c r="F310" s="3">
        <v>800</v>
      </c>
      <c r="G310" s="3">
        <v>18800</v>
      </c>
      <c r="H310" s="3">
        <v>37600</v>
      </c>
      <c r="I310" s="3">
        <f t="shared" si="4"/>
        <v>19600</v>
      </c>
    </row>
    <row r="311" spans="1:9">
      <c r="A311" s="3" t="s">
        <v>238</v>
      </c>
      <c r="B311" s="3" t="s">
        <v>14</v>
      </c>
      <c r="C311" s="3" t="s">
        <v>36</v>
      </c>
      <c r="D311" s="3" t="s">
        <v>34</v>
      </c>
      <c r="E311" s="3">
        <v>38</v>
      </c>
      <c r="F311" s="3">
        <v>45000</v>
      </c>
      <c r="G311" s="3">
        <v>1197000</v>
      </c>
      <c r="H311" s="3">
        <v>1710000</v>
      </c>
      <c r="I311" s="3">
        <f t="shared" si="4"/>
        <v>558000</v>
      </c>
    </row>
    <row r="312" spans="1:9">
      <c r="A312" s="3" t="s">
        <v>132</v>
      </c>
      <c r="B312" s="3" t="s">
        <v>14</v>
      </c>
      <c r="C312" s="3" t="s">
        <v>36</v>
      </c>
      <c r="D312" s="3" t="s">
        <v>12</v>
      </c>
      <c r="E312" s="3">
        <v>42</v>
      </c>
      <c r="F312" s="3">
        <v>800</v>
      </c>
      <c r="G312" s="3">
        <v>16800</v>
      </c>
      <c r="H312" s="3">
        <v>33600</v>
      </c>
      <c r="I312" s="3">
        <f t="shared" si="4"/>
        <v>17600</v>
      </c>
    </row>
    <row r="313" spans="1:9">
      <c r="A313" s="3" t="s">
        <v>180</v>
      </c>
      <c r="B313" s="3" t="s">
        <v>17</v>
      </c>
      <c r="C313" s="3" t="s">
        <v>22</v>
      </c>
      <c r="D313" s="3" t="s">
        <v>40</v>
      </c>
      <c r="E313" s="3">
        <v>46</v>
      </c>
      <c r="F313" s="3">
        <v>6000</v>
      </c>
      <c r="G313" s="3">
        <v>171120</v>
      </c>
      <c r="H313" s="3">
        <v>276000</v>
      </c>
      <c r="I313" s="3">
        <f t="shared" si="4"/>
        <v>110880</v>
      </c>
    </row>
    <row r="314" spans="1:9">
      <c r="A314" s="3" t="s">
        <v>113</v>
      </c>
      <c r="B314" s="3" t="s">
        <v>30</v>
      </c>
      <c r="C314" s="3" t="s">
        <v>44</v>
      </c>
      <c r="D314" s="3" t="s">
        <v>27</v>
      </c>
      <c r="E314" s="3">
        <v>9</v>
      </c>
      <c r="F314" s="3">
        <v>2200</v>
      </c>
      <c r="G314" s="3">
        <v>11484</v>
      </c>
      <c r="H314" s="3">
        <v>19800</v>
      </c>
      <c r="I314" s="3">
        <f t="shared" si="4"/>
        <v>10516</v>
      </c>
    </row>
    <row r="315" spans="1:9">
      <c r="A315" s="3" t="s">
        <v>39</v>
      </c>
      <c r="B315" s="3" t="s">
        <v>10</v>
      </c>
      <c r="C315" s="3" t="s">
        <v>44</v>
      </c>
      <c r="D315" s="3" t="s">
        <v>15</v>
      </c>
      <c r="E315" s="3">
        <v>24</v>
      </c>
      <c r="F315" s="3">
        <v>3500</v>
      </c>
      <c r="G315" s="3">
        <v>50400</v>
      </c>
      <c r="H315" s="3">
        <v>84000</v>
      </c>
      <c r="I315" s="3">
        <f t="shared" si="4"/>
        <v>37100</v>
      </c>
    </row>
    <row r="316" spans="1:9">
      <c r="A316" s="3" t="s">
        <v>239</v>
      </c>
      <c r="B316" s="3" t="s">
        <v>33</v>
      </c>
      <c r="C316" s="3" t="s">
        <v>36</v>
      </c>
      <c r="D316" s="3" t="s">
        <v>51</v>
      </c>
      <c r="E316" s="3">
        <v>14</v>
      </c>
      <c r="F316" s="3">
        <v>15000</v>
      </c>
      <c r="G316" s="3">
        <v>136500</v>
      </c>
      <c r="H316" s="3">
        <v>210000</v>
      </c>
      <c r="I316" s="3">
        <f t="shared" si="4"/>
        <v>88500</v>
      </c>
    </row>
    <row r="317" spans="1:9">
      <c r="A317" s="3" t="s">
        <v>142</v>
      </c>
      <c r="B317" s="3" t="s">
        <v>47</v>
      </c>
      <c r="C317" s="3" t="s">
        <v>22</v>
      </c>
      <c r="D317" s="3" t="s">
        <v>60</v>
      </c>
      <c r="E317" s="3">
        <v>9</v>
      </c>
      <c r="F317" s="3">
        <v>1500</v>
      </c>
      <c r="G317" s="3">
        <v>7425</v>
      </c>
      <c r="H317" s="3">
        <v>13500</v>
      </c>
      <c r="I317" s="3">
        <f t="shared" si="4"/>
        <v>7575</v>
      </c>
    </row>
    <row r="318" spans="1:9">
      <c r="A318" s="3" t="s">
        <v>240</v>
      </c>
      <c r="B318" s="3" t="s">
        <v>10</v>
      </c>
      <c r="C318" s="3" t="s">
        <v>36</v>
      </c>
      <c r="D318" s="3" t="s">
        <v>34</v>
      </c>
      <c r="E318" s="3">
        <v>33</v>
      </c>
      <c r="F318" s="3">
        <v>45000</v>
      </c>
      <c r="G318" s="3">
        <v>1039500</v>
      </c>
      <c r="H318" s="3">
        <v>1485000</v>
      </c>
      <c r="I318" s="3">
        <f t="shared" si="4"/>
        <v>490500</v>
      </c>
    </row>
    <row r="319" spans="1:9">
      <c r="A319" s="3" t="s">
        <v>167</v>
      </c>
      <c r="B319" s="3" t="s">
        <v>25</v>
      </c>
      <c r="C319" s="3" t="s">
        <v>36</v>
      </c>
      <c r="D319" s="3" t="s">
        <v>40</v>
      </c>
      <c r="E319" s="3">
        <v>9</v>
      </c>
      <c r="F319" s="3">
        <v>6000</v>
      </c>
      <c r="G319" s="3">
        <v>33480</v>
      </c>
      <c r="H319" s="3">
        <v>54000</v>
      </c>
      <c r="I319" s="3">
        <f t="shared" si="4"/>
        <v>26520</v>
      </c>
    </row>
    <row r="320" spans="1:9">
      <c r="A320" s="3" t="s">
        <v>53</v>
      </c>
      <c r="B320" s="3" t="s">
        <v>17</v>
      </c>
      <c r="C320" s="3" t="s">
        <v>22</v>
      </c>
      <c r="D320" s="3" t="s">
        <v>51</v>
      </c>
      <c r="E320" s="3">
        <v>12</v>
      </c>
      <c r="F320" s="3">
        <v>15000</v>
      </c>
      <c r="G320" s="3">
        <v>117000</v>
      </c>
      <c r="H320" s="3">
        <v>180000</v>
      </c>
      <c r="I320" s="3">
        <f t="shared" si="4"/>
        <v>78000</v>
      </c>
    </row>
    <row r="321" spans="1:9">
      <c r="A321" s="3" t="s">
        <v>241</v>
      </c>
      <c r="B321" s="3" t="s">
        <v>14</v>
      </c>
      <c r="C321" s="3" t="s">
        <v>44</v>
      </c>
      <c r="D321" s="3" t="s">
        <v>18</v>
      </c>
      <c r="E321" s="3">
        <v>27</v>
      </c>
      <c r="F321" s="3">
        <v>55000</v>
      </c>
      <c r="G321" s="3">
        <v>1069200</v>
      </c>
      <c r="H321" s="3">
        <v>1485000</v>
      </c>
      <c r="I321" s="3">
        <f t="shared" si="4"/>
        <v>470800</v>
      </c>
    </row>
    <row r="322" spans="1:9">
      <c r="A322" s="3" t="s">
        <v>38</v>
      </c>
      <c r="B322" s="3" t="s">
        <v>20</v>
      </c>
      <c r="C322" s="3" t="s">
        <v>44</v>
      </c>
      <c r="D322" s="3" t="s">
        <v>40</v>
      </c>
      <c r="E322" s="3">
        <v>19</v>
      </c>
      <c r="F322" s="3">
        <v>6000</v>
      </c>
      <c r="G322" s="3">
        <v>70680</v>
      </c>
      <c r="H322" s="3">
        <v>114000</v>
      </c>
      <c r="I322" s="3">
        <f t="shared" si="4"/>
        <v>49320</v>
      </c>
    </row>
    <row r="323" spans="1:9">
      <c r="A323" s="3" t="s">
        <v>242</v>
      </c>
      <c r="B323" s="3" t="s">
        <v>20</v>
      </c>
      <c r="C323" s="3" t="s">
        <v>22</v>
      </c>
      <c r="D323" s="3" t="s">
        <v>12</v>
      </c>
      <c r="E323" s="3">
        <v>31</v>
      </c>
      <c r="F323" s="3">
        <v>800</v>
      </c>
      <c r="G323" s="3">
        <v>12400</v>
      </c>
      <c r="H323" s="3">
        <v>24800</v>
      </c>
      <c r="I323" s="3">
        <f t="shared" ref="I323:I386" si="5">H323-(G323-F323)</f>
        <v>13200</v>
      </c>
    </row>
    <row r="324" spans="1:9">
      <c r="A324" s="3" t="s">
        <v>243</v>
      </c>
      <c r="B324" s="3" t="s">
        <v>33</v>
      </c>
      <c r="C324" s="3" t="s">
        <v>44</v>
      </c>
      <c r="D324" s="3" t="s">
        <v>23</v>
      </c>
      <c r="E324" s="3">
        <v>50</v>
      </c>
      <c r="F324" s="3">
        <v>25000</v>
      </c>
      <c r="G324" s="3">
        <v>875000</v>
      </c>
      <c r="H324" s="3">
        <v>1250000</v>
      </c>
      <c r="I324" s="3">
        <f t="shared" si="5"/>
        <v>400000</v>
      </c>
    </row>
    <row r="325" spans="1:9">
      <c r="A325" s="3" t="s">
        <v>244</v>
      </c>
      <c r="B325" s="3" t="s">
        <v>17</v>
      </c>
      <c r="C325" s="3" t="s">
        <v>44</v>
      </c>
      <c r="D325" s="3" t="s">
        <v>51</v>
      </c>
      <c r="E325" s="3">
        <v>13</v>
      </c>
      <c r="F325" s="3">
        <v>15000</v>
      </c>
      <c r="G325" s="3">
        <v>126750</v>
      </c>
      <c r="H325" s="3">
        <v>195000</v>
      </c>
      <c r="I325" s="3">
        <f t="shared" si="5"/>
        <v>83250</v>
      </c>
    </row>
    <row r="326" spans="1:9">
      <c r="A326" s="3" t="s">
        <v>29</v>
      </c>
      <c r="B326" s="3" t="s">
        <v>14</v>
      </c>
      <c r="C326" s="3" t="s">
        <v>36</v>
      </c>
      <c r="D326" s="3" t="s">
        <v>18</v>
      </c>
      <c r="E326" s="3">
        <v>42</v>
      </c>
      <c r="F326" s="3">
        <v>55000</v>
      </c>
      <c r="G326" s="3">
        <v>1663200</v>
      </c>
      <c r="H326" s="3">
        <v>2310000</v>
      </c>
      <c r="I326" s="3">
        <f t="shared" si="5"/>
        <v>701800</v>
      </c>
    </row>
    <row r="327" spans="1:9">
      <c r="A327" s="3" t="s">
        <v>76</v>
      </c>
      <c r="B327" s="3" t="s">
        <v>33</v>
      </c>
      <c r="C327" s="3" t="s">
        <v>11</v>
      </c>
      <c r="D327" s="3" t="s">
        <v>15</v>
      </c>
      <c r="E327" s="3">
        <v>8</v>
      </c>
      <c r="F327" s="3">
        <v>3500</v>
      </c>
      <c r="G327" s="3">
        <v>16800</v>
      </c>
      <c r="H327" s="3">
        <v>28000</v>
      </c>
      <c r="I327" s="3">
        <f t="shared" si="5"/>
        <v>14700</v>
      </c>
    </row>
    <row r="328" spans="1:9">
      <c r="A328" s="3" t="s">
        <v>88</v>
      </c>
      <c r="B328" s="3" t="s">
        <v>10</v>
      </c>
      <c r="C328" s="3" t="s">
        <v>22</v>
      </c>
      <c r="D328" s="3" t="s">
        <v>12</v>
      </c>
      <c r="E328" s="3">
        <v>29</v>
      </c>
      <c r="F328" s="3">
        <v>800</v>
      </c>
      <c r="G328" s="3">
        <v>11600</v>
      </c>
      <c r="H328" s="3">
        <v>23200</v>
      </c>
      <c r="I328" s="3">
        <f t="shared" si="5"/>
        <v>12400</v>
      </c>
    </row>
    <row r="329" spans="1:9">
      <c r="A329" s="3" t="s">
        <v>245</v>
      </c>
      <c r="B329" s="3" t="s">
        <v>14</v>
      </c>
      <c r="C329" s="3" t="s">
        <v>44</v>
      </c>
      <c r="D329" s="3" t="s">
        <v>34</v>
      </c>
      <c r="E329" s="3">
        <v>15</v>
      </c>
      <c r="F329" s="3">
        <v>45000</v>
      </c>
      <c r="G329" s="3">
        <v>472500</v>
      </c>
      <c r="H329" s="3">
        <v>675000</v>
      </c>
      <c r="I329" s="3">
        <f t="shared" si="5"/>
        <v>247500</v>
      </c>
    </row>
    <row r="330" spans="1:9">
      <c r="A330" s="3" t="s">
        <v>160</v>
      </c>
      <c r="B330" s="3" t="s">
        <v>33</v>
      </c>
      <c r="C330" s="3" t="s">
        <v>11</v>
      </c>
      <c r="D330" s="3" t="s">
        <v>26</v>
      </c>
      <c r="E330" s="3">
        <v>4</v>
      </c>
      <c r="F330" s="3">
        <v>12000</v>
      </c>
      <c r="G330" s="3">
        <v>32640</v>
      </c>
      <c r="H330" s="3">
        <v>48000</v>
      </c>
      <c r="I330" s="3">
        <f t="shared" si="5"/>
        <v>27360</v>
      </c>
    </row>
    <row r="331" spans="1:9">
      <c r="A331" s="3" t="s">
        <v>226</v>
      </c>
      <c r="B331" s="3" t="s">
        <v>33</v>
      </c>
      <c r="C331" s="3" t="s">
        <v>22</v>
      </c>
      <c r="D331" s="3" t="s">
        <v>26</v>
      </c>
      <c r="E331" s="3">
        <v>6</v>
      </c>
      <c r="F331" s="3">
        <v>12000</v>
      </c>
      <c r="G331" s="3">
        <v>48960</v>
      </c>
      <c r="H331" s="3">
        <v>72000</v>
      </c>
      <c r="I331" s="3">
        <f t="shared" si="5"/>
        <v>35040</v>
      </c>
    </row>
    <row r="332" spans="1:9">
      <c r="A332" s="3" t="s">
        <v>246</v>
      </c>
      <c r="B332" s="3" t="s">
        <v>20</v>
      </c>
      <c r="C332" s="3" t="s">
        <v>11</v>
      </c>
      <c r="D332" s="3" t="s">
        <v>27</v>
      </c>
      <c r="E332" s="3">
        <v>7</v>
      </c>
      <c r="F332" s="3">
        <v>2200</v>
      </c>
      <c r="G332" s="3">
        <v>8932</v>
      </c>
      <c r="H332" s="3">
        <v>15400</v>
      </c>
      <c r="I332" s="3">
        <f t="shared" si="5"/>
        <v>8668</v>
      </c>
    </row>
    <row r="333" spans="1:9">
      <c r="A333" s="3" t="s">
        <v>21</v>
      </c>
      <c r="B333" s="3" t="s">
        <v>33</v>
      </c>
      <c r="C333" s="3" t="s">
        <v>22</v>
      </c>
      <c r="D333" s="3" t="s">
        <v>51</v>
      </c>
      <c r="E333" s="3">
        <v>3</v>
      </c>
      <c r="F333" s="3">
        <v>15000</v>
      </c>
      <c r="G333" s="3">
        <v>29250</v>
      </c>
      <c r="H333" s="3">
        <v>45000</v>
      </c>
      <c r="I333" s="3">
        <f t="shared" si="5"/>
        <v>30750</v>
      </c>
    </row>
    <row r="334" spans="1:9">
      <c r="A334" s="3" t="s">
        <v>78</v>
      </c>
      <c r="B334" s="3" t="s">
        <v>47</v>
      </c>
      <c r="C334" s="3" t="s">
        <v>22</v>
      </c>
      <c r="D334" s="3" t="s">
        <v>23</v>
      </c>
      <c r="E334" s="3">
        <v>29</v>
      </c>
      <c r="F334" s="3">
        <v>25000</v>
      </c>
      <c r="G334" s="3">
        <v>507500</v>
      </c>
      <c r="H334" s="3">
        <v>725000</v>
      </c>
      <c r="I334" s="3">
        <f t="shared" si="5"/>
        <v>242500</v>
      </c>
    </row>
    <row r="335" spans="1:9">
      <c r="A335" s="3" t="s">
        <v>247</v>
      </c>
      <c r="B335" s="3" t="s">
        <v>25</v>
      </c>
      <c r="C335" s="3" t="s">
        <v>11</v>
      </c>
      <c r="D335" s="3" t="s">
        <v>18</v>
      </c>
      <c r="E335" s="3">
        <v>17</v>
      </c>
      <c r="F335" s="3">
        <v>55000</v>
      </c>
      <c r="G335" s="3">
        <v>673200</v>
      </c>
      <c r="H335" s="3">
        <v>935000</v>
      </c>
      <c r="I335" s="3">
        <f t="shared" si="5"/>
        <v>316800</v>
      </c>
    </row>
    <row r="336" spans="1:9">
      <c r="A336" s="3" t="s">
        <v>248</v>
      </c>
      <c r="B336" s="3" t="s">
        <v>14</v>
      </c>
      <c r="C336" s="3" t="s">
        <v>44</v>
      </c>
      <c r="D336" s="3" t="s">
        <v>34</v>
      </c>
      <c r="E336" s="3">
        <v>50</v>
      </c>
      <c r="F336" s="3">
        <v>45000</v>
      </c>
      <c r="G336" s="3">
        <v>1575000</v>
      </c>
      <c r="H336" s="3">
        <v>2250000</v>
      </c>
      <c r="I336" s="3">
        <f t="shared" si="5"/>
        <v>720000</v>
      </c>
    </row>
    <row r="337" spans="1:9">
      <c r="A337" s="3" t="s">
        <v>161</v>
      </c>
      <c r="B337" s="3" t="s">
        <v>20</v>
      </c>
      <c r="C337" s="3" t="s">
        <v>36</v>
      </c>
      <c r="D337" s="3" t="s">
        <v>34</v>
      </c>
      <c r="E337" s="3">
        <v>4</v>
      </c>
      <c r="F337" s="3">
        <v>45000</v>
      </c>
      <c r="G337" s="3">
        <v>126000</v>
      </c>
      <c r="H337" s="3">
        <v>180000</v>
      </c>
      <c r="I337" s="3">
        <f t="shared" si="5"/>
        <v>99000</v>
      </c>
    </row>
    <row r="338" spans="1:9">
      <c r="A338" s="3" t="s">
        <v>249</v>
      </c>
      <c r="B338" s="3" t="s">
        <v>17</v>
      </c>
      <c r="C338" s="3" t="s">
        <v>44</v>
      </c>
      <c r="D338" s="3" t="s">
        <v>34</v>
      </c>
      <c r="E338" s="3">
        <v>8</v>
      </c>
      <c r="F338" s="3">
        <v>45000</v>
      </c>
      <c r="G338" s="3">
        <v>252000</v>
      </c>
      <c r="H338" s="3">
        <v>360000</v>
      </c>
      <c r="I338" s="3">
        <f t="shared" si="5"/>
        <v>153000</v>
      </c>
    </row>
    <row r="339" spans="1:9">
      <c r="A339" s="3" t="s">
        <v>250</v>
      </c>
      <c r="B339" s="3" t="s">
        <v>25</v>
      </c>
      <c r="C339" s="3" t="s">
        <v>22</v>
      </c>
      <c r="D339" s="3" t="s">
        <v>51</v>
      </c>
      <c r="E339" s="3">
        <v>19</v>
      </c>
      <c r="F339" s="3">
        <v>15000</v>
      </c>
      <c r="G339" s="3">
        <v>185250</v>
      </c>
      <c r="H339" s="3">
        <v>285000</v>
      </c>
      <c r="I339" s="3">
        <f t="shared" si="5"/>
        <v>114750</v>
      </c>
    </row>
    <row r="340" spans="1:9">
      <c r="A340" s="3" t="s">
        <v>141</v>
      </c>
      <c r="B340" s="3" t="s">
        <v>25</v>
      </c>
      <c r="C340" s="3" t="s">
        <v>36</v>
      </c>
      <c r="D340" s="3" t="s">
        <v>60</v>
      </c>
      <c r="E340" s="3">
        <v>37</v>
      </c>
      <c r="F340" s="3">
        <v>1500</v>
      </c>
      <c r="G340" s="3">
        <v>30525</v>
      </c>
      <c r="H340" s="3">
        <v>55500</v>
      </c>
      <c r="I340" s="3">
        <f t="shared" si="5"/>
        <v>26475</v>
      </c>
    </row>
    <row r="341" spans="1:9">
      <c r="A341" s="3" t="s">
        <v>158</v>
      </c>
      <c r="B341" s="3" t="s">
        <v>14</v>
      </c>
      <c r="C341" s="3" t="s">
        <v>11</v>
      </c>
      <c r="D341" s="3" t="s">
        <v>15</v>
      </c>
      <c r="E341" s="3">
        <v>24</v>
      </c>
      <c r="F341" s="3">
        <v>3500</v>
      </c>
      <c r="G341" s="3">
        <v>50400</v>
      </c>
      <c r="H341" s="3">
        <v>84000</v>
      </c>
      <c r="I341" s="3">
        <f t="shared" si="5"/>
        <v>37100</v>
      </c>
    </row>
    <row r="342" spans="1:9">
      <c r="A342" s="3" t="s">
        <v>251</v>
      </c>
      <c r="B342" s="3" t="s">
        <v>25</v>
      </c>
      <c r="C342" s="3" t="s">
        <v>44</v>
      </c>
      <c r="D342" s="3" t="s">
        <v>23</v>
      </c>
      <c r="E342" s="3">
        <v>3</v>
      </c>
      <c r="F342" s="3">
        <v>25000</v>
      </c>
      <c r="G342" s="3">
        <v>52500</v>
      </c>
      <c r="H342" s="3">
        <v>75000</v>
      </c>
      <c r="I342" s="3">
        <f t="shared" si="5"/>
        <v>47500</v>
      </c>
    </row>
    <row r="343" spans="1:9">
      <c r="A343" s="3" t="s">
        <v>252</v>
      </c>
      <c r="B343" s="3" t="s">
        <v>17</v>
      </c>
      <c r="C343" s="3" t="s">
        <v>36</v>
      </c>
      <c r="D343" s="3" t="s">
        <v>12</v>
      </c>
      <c r="E343" s="3">
        <v>48</v>
      </c>
      <c r="F343" s="3">
        <v>800</v>
      </c>
      <c r="G343" s="3">
        <v>19200</v>
      </c>
      <c r="H343" s="3">
        <v>38400</v>
      </c>
      <c r="I343" s="3">
        <f t="shared" si="5"/>
        <v>20000</v>
      </c>
    </row>
    <row r="344" spans="1:9">
      <c r="A344" s="3" t="s">
        <v>253</v>
      </c>
      <c r="B344" s="3" t="s">
        <v>33</v>
      </c>
      <c r="C344" s="3" t="s">
        <v>11</v>
      </c>
      <c r="D344" s="3" t="s">
        <v>27</v>
      </c>
      <c r="E344" s="3">
        <v>16</v>
      </c>
      <c r="F344" s="3">
        <v>2200</v>
      </c>
      <c r="G344" s="3">
        <v>20416</v>
      </c>
      <c r="H344" s="3">
        <v>35200</v>
      </c>
      <c r="I344" s="3">
        <f t="shared" si="5"/>
        <v>16984</v>
      </c>
    </row>
    <row r="345" spans="1:9">
      <c r="A345" s="3" t="s">
        <v>238</v>
      </c>
      <c r="B345" s="3" t="s">
        <v>10</v>
      </c>
      <c r="C345" s="3" t="s">
        <v>36</v>
      </c>
      <c r="D345" s="3" t="s">
        <v>51</v>
      </c>
      <c r="E345" s="3">
        <v>3</v>
      </c>
      <c r="F345" s="3">
        <v>15000</v>
      </c>
      <c r="G345" s="3">
        <v>29250</v>
      </c>
      <c r="H345" s="3">
        <v>45000</v>
      </c>
      <c r="I345" s="3">
        <f t="shared" si="5"/>
        <v>30750</v>
      </c>
    </row>
    <row r="346" spans="1:9">
      <c r="A346" s="3" t="s">
        <v>254</v>
      </c>
      <c r="B346" s="3" t="s">
        <v>33</v>
      </c>
      <c r="C346" s="3" t="s">
        <v>22</v>
      </c>
      <c r="D346" s="3" t="s">
        <v>23</v>
      </c>
      <c r="E346" s="3">
        <v>45</v>
      </c>
      <c r="F346" s="3">
        <v>25000</v>
      </c>
      <c r="G346" s="3">
        <v>787500</v>
      </c>
      <c r="H346" s="3">
        <v>1125000</v>
      </c>
      <c r="I346" s="3">
        <f t="shared" si="5"/>
        <v>362500</v>
      </c>
    </row>
    <row r="347" spans="1:9">
      <c r="A347" s="3" t="s">
        <v>255</v>
      </c>
      <c r="B347" s="3" t="s">
        <v>14</v>
      </c>
      <c r="C347" s="3" t="s">
        <v>22</v>
      </c>
      <c r="D347" s="3" t="s">
        <v>34</v>
      </c>
      <c r="E347" s="3">
        <v>46</v>
      </c>
      <c r="F347" s="3">
        <v>45000</v>
      </c>
      <c r="G347" s="3">
        <v>1449000</v>
      </c>
      <c r="H347" s="3">
        <v>2070000</v>
      </c>
      <c r="I347" s="3">
        <f t="shared" si="5"/>
        <v>666000</v>
      </c>
    </row>
    <row r="348" spans="1:9">
      <c r="A348" s="3" t="s">
        <v>256</v>
      </c>
      <c r="B348" s="3" t="s">
        <v>25</v>
      </c>
      <c r="C348" s="3" t="s">
        <v>36</v>
      </c>
      <c r="D348" s="3" t="s">
        <v>60</v>
      </c>
      <c r="E348" s="3">
        <v>3</v>
      </c>
      <c r="F348" s="3">
        <v>1500</v>
      </c>
      <c r="G348" s="3">
        <v>2475</v>
      </c>
      <c r="H348" s="3">
        <v>4500</v>
      </c>
      <c r="I348" s="3">
        <f t="shared" si="5"/>
        <v>3525</v>
      </c>
    </row>
    <row r="349" spans="1:9">
      <c r="A349" s="3" t="s">
        <v>136</v>
      </c>
      <c r="B349" s="3" t="s">
        <v>25</v>
      </c>
      <c r="C349" s="3" t="s">
        <v>36</v>
      </c>
      <c r="D349" s="3" t="s">
        <v>12</v>
      </c>
      <c r="E349" s="3">
        <v>33</v>
      </c>
      <c r="F349" s="3">
        <v>800</v>
      </c>
      <c r="G349" s="3">
        <v>13200</v>
      </c>
      <c r="H349" s="3">
        <v>26400</v>
      </c>
      <c r="I349" s="3">
        <f t="shared" si="5"/>
        <v>14000</v>
      </c>
    </row>
    <row r="350" spans="1:9">
      <c r="A350" s="3" t="s">
        <v>257</v>
      </c>
      <c r="B350" s="3" t="s">
        <v>47</v>
      </c>
      <c r="C350" s="3" t="s">
        <v>36</v>
      </c>
      <c r="D350" s="3" t="s">
        <v>18</v>
      </c>
      <c r="E350" s="3">
        <v>49</v>
      </c>
      <c r="F350" s="3">
        <v>55000</v>
      </c>
      <c r="G350" s="3">
        <v>1940400</v>
      </c>
      <c r="H350" s="3">
        <v>2695000</v>
      </c>
      <c r="I350" s="3">
        <f t="shared" si="5"/>
        <v>809600</v>
      </c>
    </row>
    <row r="351" spans="1:9">
      <c r="A351" s="3" t="s">
        <v>258</v>
      </c>
      <c r="B351" s="3" t="s">
        <v>20</v>
      </c>
      <c r="C351" s="3" t="s">
        <v>36</v>
      </c>
      <c r="D351" s="3" t="s">
        <v>27</v>
      </c>
      <c r="E351" s="3">
        <v>50</v>
      </c>
      <c r="F351" s="3">
        <v>2200</v>
      </c>
      <c r="G351" s="3">
        <v>63800</v>
      </c>
      <c r="H351" s="3">
        <v>110000</v>
      </c>
      <c r="I351" s="3">
        <f t="shared" si="5"/>
        <v>48400</v>
      </c>
    </row>
    <row r="352" spans="1:9">
      <c r="A352" s="3" t="s">
        <v>259</v>
      </c>
      <c r="B352" s="3" t="s">
        <v>33</v>
      </c>
      <c r="C352" s="3" t="s">
        <v>36</v>
      </c>
      <c r="D352" s="3" t="s">
        <v>34</v>
      </c>
      <c r="E352" s="3">
        <v>24</v>
      </c>
      <c r="F352" s="3">
        <v>45000</v>
      </c>
      <c r="G352" s="3">
        <v>756000</v>
      </c>
      <c r="H352" s="3">
        <v>1080000</v>
      </c>
      <c r="I352" s="3">
        <f t="shared" si="5"/>
        <v>369000</v>
      </c>
    </row>
    <row r="353" spans="1:9">
      <c r="A353" s="3" t="s">
        <v>129</v>
      </c>
      <c r="B353" s="3" t="s">
        <v>17</v>
      </c>
      <c r="C353" s="3" t="s">
        <v>44</v>
      </c>
      <c r="D353" s="3" t="s">
        <v>26</v>
      </c>
      <c r="E353" s="3">
        <v>22</v>
      </c>
      <c r="F353" s="3">
        <v>12000</v>
      </c>
      <c r="G353" s="3">
        <v>179520</v>
      </c>
      <c r="H353" s="3">
        <v>264000</v>
      </c>
      <c r="I353" s="3">
        <f t="shared" si="5"/>
        <v>96480</v>
      </c>
    </row>
    <row r="354" spans="1:9">
      <c r="A354" s="3" t="s">
        <v>260</v>
      </c>
      <c r="B354" s="3" t="s">
        <v>47</v>
      </c>
      <c r="C354" s="3" t="s">
        <v>44</v>
      </c>
      <c r="D354" s="3" t="s">
        <v>27</v>
      </c>
      <c r="E354" s="3">
        <v>34</v>
      </c>
      <c r="F354" s="3">
        <v>2200</v>
      </c>
      <c r="G354" s="3">
        <v>43384</v>
      </c>
      <c r="H354" s="3">
        <v>74800</v>
      </c>
      <c r="I354" s="3">
        <f t="shared" si="5"/>
        <v>33616</v>
      </c>
    </row>
    <row r="355" spans="1:9">
      <c r="A355" s="3" t="s">
        <v>261</v>
      </c>
      <c r="B355" s="3" t="s">
        <v>10</v>
      </c>
      <c r="C355" s="3" t="s">
        <v>44</v>
      </c>
      <c r="D355" s="3" t="s">
        <v>34</v>
      </c>
      <c r="E355" s="3">
        <v>28</v>
      </c>
      <c r="F355" s="3">
        <v>45000</v>
      </c>
      <c r="G355" s="3">
        <v>882000</v>
      </c>
      <c r="H355" s="3">
        <v>1260000</v>
      </c>
      <c r="I355" s="3">
        <f t="shared" si="5"/>
        <v>423000</v>
      </c>
    </row>
    <row r="356" spans="1:9">
      <c r="A356" s="3" t="s">
        <v>262</v>
      </c>
      <c r="B356" s="3" t="s">
        <v>14</v>
      </c>
      <c r="C356" s="3" t="s">
        <v>36</v>
      </c>
      <c r="D356" s="3" t="s">
        <v>27</v>
      </c>
      <c r="E356" s="3">
        <v>7</v>
      </c>
      <c r="F356" s="3">
        <v>2200</v>
      </c>
      <c r="G356" s="3">
        <v>8932</v>
      </c>
      <c r="H356" s="3">
        <v>15400</v>
      </c>
      <c r="I356" s="3">
        <f t="shared" si="5"/>
        <v>8668</v>
      </c>
    </row>
    <row r="357" spans="1:9">
      <c r="A357" s="3" t="s">
        <v>263</v>
      </c>
      <c r="B357" s="3" t="s">
        <v>33</v>
      </c>
      <c r="C357" s="3" t="s">
        <v>36</v>
      </c>
      <c r="D357" s="3" t="s">
        <v>12</v>
      </c>
      <c r="E357" s="3">
        <v>29</v>
      </c>
      <c r="F357" s="3">
        <v>800</v>
      </c>
      <c r="G357" s="3">
        <v>11600</v>
      </c>
      <c r="H357" s="3">
        <v>23200</v>
      </c>
      <c r="I357" s="3">
        <f t="shared" si="5"/>
        <v>12400</v>
      </c>
    </row>
    <row r="358" spans="1:9">
      <c r="A358" s="3" t="s">
        <v>262</v>
      </c>
      <c r="B358" s="3" t="s">
        <v>17</v>
      </c>
      <c r="C358" s="3" t="s">
        <v>22</v>
      </c>
      <c r="D358" s="3" t="s">
        <v>23</v>
      </c>
      <c r="E358" s="3">
        <v>23</v>
      </c>
      <c r="F358" s="3">
        <v>25000</v>
      </c>
      <c r="G358" s="3">
        <v>402500</v>
      </c>
      <c r="H358" s="3">
        <v>575000</v>
      </c>
      <c r="I358" s="3">
        <f t="shared" si="5"/>
        <v>197500</v>
      </c>
    </row>
    <row r="359" spans="1:9">
      <c r="A359" s="3" t="s">
        <v>264</v>
      </c>
      <c r="B359" s="3" t="s">
        <v>25</v>
      </c>
      <c r="C359" s="3" t="s">
        <v>36</v>
      </c>
      <c r="D359" s="3" t="s">
        <v>40</v>
      </c>
      <c r="E359" s="3">
        <v>28</v>
      </c>
      <c r="F359" s="3">
        <v>6000</v>
      </c>
      <c r="G359" s="3">
        <v>104160</v>
      </c>
      <c r="H359" s="3">
        <v>168000</v>
      </c>
      <c r="I359" s="3">
        <f t="shared" si="5"/>
        <v>69840</v>
      </c>
    </row>
    <row r="360" spans="1:9">
      <c r="A360" s="3" t="s">
        <v>215</v>
      </c>
      <c r="B360" s="3" t="s">
        <v>25</v>
      </c>
      <c r="C360" s="3" t="s">
        <v>11</v>
      </c>
      <c r="D360" s="3" t="s">
        <v>26</v>
      </c>
      <c r="E360" s="3">
        <v>24</v>
      </c>
      <c r="F360" s="3">
        <v>12000</v>
      </c>
      <c r="G360" s="3">
        <v>195840</v>
      </c>
      <c r="H360" s="3">
        <v>288000</v>
      </c>
      <c r="I360" s="3">
        <f t="shared" si="5"/>
        <v>104160</v>
      </c>
    </row>
    <row r="361" spans="1:9">
      <c r="A361" s="3" t="s">
        <v>245</v>
      </c>
      <c r="B361" s="3" t="s">
        <v>14</v>
      </c>
      <c r="C361" s="3" t="s">
        <v>11</v>
      </c>
      <c r="D361" s="3" t="s">
        <v>51</v>
      </c>
      <c r="E361" s="3">
        <v>39</v>
      </c>
      <c r="F361" s="3">
        <v>15000</v>
      </c>
      <c r="G361" s="3">
        <v>380250</v>
      </c>
      <c r="H361" s="3">
        <v>585000</v>
      </c>
      <c r="I361" s="3">
        <f t="shared" si="5"/>
        <v>219750</v>
      </c>
    </row>
    <row r="362" spans="1:9">
      <c r="A362" s="3" t="s">
        <v>225</v>
      </c>
      <c r="B362" s="3" t="s">
        <v>47</v>
      </c>
      <c r="C362" s="3" t="s">
        <v>11</v>
      </c>
      <c r="D362" s="3" t="s">
        <v>51</v>
      </c>
      <c r="E362" s="3">
        <v>5</v>
      </c>
      <c r="F362" s="3">
        <v>15000</v>
      </c>
      <c r="G362" s="3">
        <v>48750</v>
      </c>
      <c r="H362" s="3">
        <v>75000</v>
      </c>
      <c r="I362" s="3">
        <f t="shared" si="5"/>
        <v>41250</v>
      </c>
    </row>
    <row r="363" spans="1:9">
      <c r="A363" s="3" t="s">
        <v>114</v>
      </c>
      <c r="B363" s="3" t="s">
        <v>33</v>
      </c>
      <c r="C363" s="3" t="s">
        <v>36</v>
      </c>
      <c r="D363" s="3" t="s">
        <v>26</v>
      </c>
      <c r="E363" s="3">
        <v>37</v>
      </c>
      <c r="F363" s="3">
        <v>12000</v>
      </c>
      <c r="G363" s="3">
        <v>301920</v>
      </c>
      <c r="H363" s="3">
        <v>444000</v>
      </c>
      <c r="I363" s="3">
        <f t="shared" si="5"/>
        <v>154080</v>
      </c>
    </row>
    <row r="364" spans="1:9">
      <c r="A364" s="3" t="s">
        <v>43</v>
      </c>
      <c r="B364" s="3" t="s">
        <v>14</v>
      </c>
      <c r="C364" s="3" t="s">
        <v>44</v>
      </c>
      <c r="D364" s="3" t="s">
        <v>27</v>
      </c>
      <c r="E364" s="3">
        <v>24</v>
      </c>
      <c r="F364" s="3">
        <v>2200</v>
      </c>
      <c r="G364" s="3">
        <v>30624</v>
      </c>
      <c r="H364" s="3">
        <v>52800</v>
      </c>
      <c r="I364" s="3">
        <f t="shared" si="5"/>
        <v>24376</v>
      </c>
    </row>
    <row r="365" spans="1:9">
      <c r="A365" s="3" t="s">
        <v>265</v>
      </c>
      <c r="B365" s="3" t="s">
        <v>10</v>
      </c>
      <c r="C365" s="3" t="s">
        <v>22</v>
      </c>
      <c r="D365" s="3" t="s">
        <v>15</v>
      </c>
      <c r="E365" s="3">
        <v>24</v>
      </c>
      <c r="F365" s="3">
        <v>3500</v>
      </c>
      <c r="G365" s="3">
        <v>50400</v>
      </c>
      <c r="H365" s="3">
        <v>84000</v>
      </c>
      <c r="I365" s="3">
        <f t="shared" si="5"/>
        <v>37100</v>
      </c>
    </row>
    <row r="366" spans="1:9">
      <c r="A366" s="3" t="s">
        <v>257</v>
      </c>
      <c r="B366" s="3" t="s">
        <v>33</v>
      </c>
      <c r="C366" s="3" t="s">
        <v>36</v>
      </c>
      <c r="D366" s="3" t="s">
        <v>60</v>
      </c>
      <c r="E366" s="3">
        <v>8</v>
      </c>
      <c r="F366" s="3">
        <v>1500</v>
      </c>
      <c r="G366" s="3">
        <v>6600</v>
      </c>
      <c r="H366" s="3">
        <v>12000</v>
      </c>
      <c r="I366" s="3">
        <f t="shared" si="5"/>
        <v>6900</v>
      </c>
    </row>
    <row r="367" spans="1:9">
      <c r="A367" s="3" t="s">
        <v>139</v>
      </c>
      <c r="B367" s="3" t="s">
        <v>14</v>
      </c>
      <c r="C367" s="3" t="s">
        <v>44</v>
      </c>
      <c r="D367" s="3" t="s">
        <v>15</v>
      </c>
      <c r="E367" s="3">
        <v>25</v>
      </c>
      <c r="F367" s="3">
        <v>3500</v>
      </c>
      <c r="G367" s="3">
        <v>52500</v>
      </c>
      <c r="H367" s="3">
        <v>87500</v>
      </c>
      <c r="I367" s="3">
        <f t="shared" si="5"/>
        <v>38500</v>
      </c>
    </row>
    <row r="368" spans="1:9">
      <c r="A368" s="3" t="s">
        <v>204</v>
      </c>
      <c r="B368" s="3" t="s">
        <v>10</v>
      </c>
      <c r="C368" s="3" t="s">
        <v>36</v>
      </c>
      <c r="D368" s="3" t="s">
        <v>12</v>
      </c>
      <c r="E368" s="3">
        <v>46</v>
      </c>
      <c r="F368" s="3">
        <v>800</v>
      </c>
      <c r="G368" s="3">
        <v>18400</v>
      </c>
      <c r="H368" s="3">
        <v>36800</v>
      </c>
      <c r="I368" s="3">
        <f t="shared" si="5"/>
        <v>19200</v>
      </c>
    </row>
    <row r="369" spans="1:9">
      <c r="A369" s="3" t="s">
        <v>264</v>
      </c>
      <c r="B369" s="3" t="s">
        <v>20</v>
      </c>
      <c r="C369" s="3" t="s">
        <v>36</v>
      </c>
      <c r="D369" s="3" t="s">
        <v>23</v>
      </c>
      <c r="E369" s="3">
        <v>13</v>
      </c>
      <c r="F369" s="3">
        <v>25000</v>
      </c>
      <c r="G369" s="3">
        <v>227500</v>
      </c>
      <c r="H369" s="3">
        <v>325000</v>
      </c>
      <c r="I369" s="3">
        <f t="shared" si="5"/>
        <v>122500</v>
      </c>
    </row>
    <row r="370" spans="1:9">
      <c r="A370" s="3" t="s">
        <v>117</v>
      </c>
      <c r="B370" s="3" t="s">
        <v>14</v>
      </c>
      <c r="C370" s="3" t="s">
        <v>11</v>
      </c>
      <c r="D370" s="3" t="s">
        <v>23</v>
      </c>
      <c r="E370" s="3">
        <v>12</v>
      </c>
      <c r="F370" s="3">
        <v>25000</v>
      </c>
      <c r="G370" s="3">
        <v>210000</v>
      </c>
      <c r="H370" s="3">
        <v>300000</v>
      </c>
      <c r="I370" s="3">
        <f t="shared" si="5"/>
        <v>115000</v>
      </c>
    </row>
    <row r="371" spans="1:9">
      <c r="A371" s="3" t="s">
        <v>265</v>
      </c>
      <c r="B371" s="3" t="s">
        <v>10</v>
      </c>
      <c r="C371" s="3" t="s">
        <v>36</v>
      </c>
      <c r="D371" s="3" t="s">
        <v>27</v>
      </c>
      <c r="E371" s="3">
        <v>46</v>
      </c>
      <c r="F371" s="3">
        <v>2200</v>
      </c>
      <c r="G371" s="3">
        <v>58696</v>
      </c>
      <c r="H371" s="3">
        <v>101200</v>
      </c>
      <c r="I371" s="3">
        <f t="shared" si="5"/>
        <v>44704</v>
      </c>
    </row>
    <row r="372" spans="1:9">
      <c r="A372" s="3" t="s">
        <v>266</v>
      </c>
      <c r="B372" s="3" t="s">
        <v>30</v>
      </c>
      <c r="C372" s="3" t="s">
        <v>36</v>
      </c>
      <c r="D372" s="3" t="s">
        <v>51</v>
      </c>
      <c r="E372" s="3">
        <v>46</v>
      </c>
      <c r="F372" s="3">
        <v>15000</v>
      </c>
      <c r="G372" s="3">
        <v>448500</v>
      </c>
      <c r="H372" s="3">
        <v>690000</v>
      </c>
      <c r="I372" s="3">
        <f t="shared" si="5"/>
        <v>256500</v>
      </c>
    </row>
    <row r="373" spans="1:9">
      <c r="A373" s="3" t="s">
        <v>267</v>
      </c>
      <c r="B373" s="3" t="s">
        <v>14</v>
      </c>
      <c r="C373" s="3" t="s">
        <v>36</v>
      </c>
      <c r="D373" s="3" t="s">
        <v>15</v>
      </c>
      <c r="E373" s="3">
        <v>15</v>
      </c>
      <c r="F373" s="3">
        <v>3500</v>
      </c>
      <c r="G373" s="3">
        <v>31500</v>
      </c>
      <c r="H373" s="3">
        <v>52500</v>
      </c>
      <c r="I373" s="3">
        <f t="shared" si="5"/>
        <v>24500</v>
      </c>
    </row>
    <row r="374" spans="1:9">
      <c r="A374" s="3" t="s">
        <v>117</v>
      </c>
      <c r="B374" s="3" t="s">
        <v>20</v>
      </c>
      <c r="C374" s="3" t="s">
        <v>22</v>
      </c>
      <c r="D374" s="3" t="s">
        <v>60</v>
      </c>
      <c r="E374" s="3">
        <v>32</v>
      </c>
      <c r="F374" s="3">
        <v>1500</v>
      </c>
      <c r="G374" s="3">
        <v>26400</v>
      </c>
      <c r="H374" s="3">
        <v>48000</v>
      </c>
      <c r="I374" s="3">
        <f t="shared" si="5"/>
        <v>23100</v>
      </c>
    </row>
    <row r="375" spans="1:9">
      <c r="A375" s="3" t="s">
        <v>139</v>
      </c>
      <c r="B375" s="3" t="s">
        <v>33</v>
      </c>
      <c r="C375" s="3" t="s">
        <v>36</v>
      </c>
      <c r="D375" s="3" t="s">
        <v>23</v>
      </c>
      <c r="E375" s="3">
        <v>36</v>
      </c>
      <c r="F375" s="3">
        <v>25000</v>
      </c>
      <c r="G375" s="3">
        <v>630000</v>
      </c>
      <c r="H375" s="3">
        <v>900000</v>
      </c>
      <c r="I375" s="3">
        <f t="shared" si="5"/>
        <v>295000</v>
      </c>
    </row>
    <row r="376" spans="1:9">
      <c r="A376" s="3" t="s">
        <v>227</v>
      </c>
      <c r="B376" s="3" t="s">
        <v>10</v>
      </c>
      <c r="C376" s="3" t="s">
        <v>11</v>
      </c>
      <c r="D376" s="3" t="s">
        <v>12</v>
      </c>
      <c r="E376" s="3">
        <v>26</v>
      </c>
      <c r="F376" s="3">
        <v>800</v>
      </c>
      <c r="G376" s="3">
        <v>10400</v>
      </c>
      <c r="H376" s="3">
        <v>20800</v>
      </c>
      <c r="I376" s="3">
        <f t="shared" si="5"/>
        <v>11200</v>
      </c>
    </row>
    <row r="377" spans="1:9">
      <c r="A377" s="3" t="s">
        <v>255</v>
      </c>
      <c r="B377" s="3" t="s">
        <v>17</v>
      </c>
      <c r="C377" s="3" t="s">
        <v>44</v>
      </c>
      <c r="D377" s="3" t="s">
        <v>40</v>
      </c>
      <c r="E377" s="3">
        <v>5</v>
      </c>
      <c r="F377" s="3">
        <v>6000</v>
      </c>
      <c r="G377" s="3">
        <v>18600</v>
      </c>
      <c r="H377" s="3">
        <v>30000</v>
      </c>
      <c r="I377" s="3">
        <f t="shared" si="5"/>
        <v>17400</v>
      </c>
    </row>
    <row r="378" spans="1:9">
      <c r="A378" s="3" t="s">
        <v>182</v>
      </c>
      <c r="B378" s="3" t="s">
        <v>33</v>
      </c>
      <c r="C378" s="3" t="s">
        <v>11</v>
      </c>
      <c r="D378" s="3" t="s">
        <v>23</v>
      </c>
      <c r="E378" s="3">
        <v>30</v>
      </c>
      <c r="F378" s="3">
        <v>25000</v>
      </c>
      <c r="G378" s="3">
        <v>525000</v>
      </c>
      <c r="H378" s="3">
        <v>750000</v>
      </c>
      <c r="I378" s="3">
        <f t="shared" si="5"/>
        <v>250000</v>
      </c>
    </row>
    <row r="379" spans="1:9">
      <c r="A379" s="3" t="s">
        <v>54</v>
      </c>
      <c r="B379" s="3" t="s">
        <v>33</v>
      </c>
      <c r="C379" s="3" t="s">
        <v>22</v>
      </c>
      <c r="D379" s="3" t="s">
        <v>15</v>
      </c>
      <c r="E379" s="3">
        <v>41</v>
      </c>
      <c r="F379" s="3">
        <v>3500</v>
      </c>
      <c r="G379" s="3">
        <v>86100</v>
      </c>
      <c r="H379" s="3">
        <v>143500</v>
      </c>
      <c r="I379" s="3">
        <f t="shared" si="5"/>
        <v>60900</v>
      </c>
    </row>
    <row r="380" spans="1:9">
      <c r="A380" s="3" t="s">
        <v>194</v>
      </c>
      <c r="B380" s="3" t="s">
        <v>14</v>
      </c>
      <c r="C380" s="3" t="s">
        <v>22</v>
      </c>
      <c r="D380" s="3" t="s">
        <v>26</v>
      </c>
      <c r="E380" s="3">
        <v>33</v>
      </c>
      <c r="F380" s="3">
        <v>12000</v>
      </c>
      <c r="G380" s="3">
        <v>269280</v>
      </c>
      <c r="H380" s="3">
        <v>396000</v>
      </c>
      <c r="I380" s="3">
        <f t="shared" si="5"/>
        <v>138720</v>
      </c>
    </row>
    <row r="381" spans="1:9">
      <c r="A381" s="3" t="s">
        <v>189</v>
      </c>
      <c r="B381" s="3" t="s">
        <v>10</v>
      </c>
      <c r="C381" s="3" t="s">
        <v>22</v>
      </c>
      <c r="D381" s="3" t="s">
        <v>12</v>
      </c>
      <c r="E381" s="3">
        <v>11</v>
      </c>
      <c r="F381" s="3">
        <v>800</v>
      </c>
      <c r="G381" s="3">
        <v>4400</v>
      </c>
      <c r="H381" s="3">
        <v>8800</v>
      </c>
      <c r="I381" s="3">
        <f t="shared" si="5"/>
        <v>5200</v>
      </c>
    </row>
    <row r="382" spans="1:9">
      <c r="A382" s="3" t="s">
        <v>58</v>
      </c>
      <c r="B382" s="3" t="s">
        <v>33</v>
      </c>
      <c r="C382" s="3" t="s">
        <v>22</v>
      </c>
      <c r="D382" s="3" t="s">
        <v>27</v>
      </c>
      <c r="E382" s="3">
        <v>34</v>
      </c>
      <c r="F382" s="3">
        <v>2200</v>
      </c>
      <c r="G382" s="3">
        <v>43384</v>
      </c>
      <c r="H382" s="3">
        <v>74800</v>
      </c>
      <c r="I382" s="3">
        <f t="shared" si="5"/>
        <v>33616</v>
      </c>
    </row>
    <row r="383" spans="1:9">
      <c r="A383" s="3" t="s">
        <v>88</v>
      </c>
      <c r="B383" s="3" t="s">
        <v>10</v>
      </c>
      <c r="C383" s="3" t="s">
        <v>36</v>
      </c>
      <c r="D383" s="3" t="s">
        <v>60</v>
      </c>
      <c r="E383" s="3">
        <v>41</v>
      </c>
      <c r="F383" s="3">
        <v>1500</v>
      </c>
      <c r="G383" s="3">
        <v>33825</v>
      </c>
      <c r="H383" s="3">
        <v>61500</v>
      </c>
      <c r="I383" s="3">
        <f t="shared" si="5"/>
        <v>29175</v>
      </c>
    </row>
    <row r="384" spans="1:9">
      <c r="A384" s="3" t="s">
        <v>95</v>
      </c>
      <c r="B384" s="3" t="s">
        <v>30</v>
      </c>
      <c r="C384" s="3" t="s">
        <v>22</v>
      </c>
      <c r="D384" s="3" t="s">
        <v>12</v>
      </c>
      <c r="E384" s="3">
        <v>40</v>
      </c>
      <c r="F384" s="3">
        <v>800</v>
      </c>
      <c r="G384" s="3">
        <v>16000</v>
      </c>
      <c r="H384" s="3">
        <v>32000</v>
      </c>
      <c r="I384" s="3">
        <f t="shared" si="5"/>
        <v>16800</v>
      </c>
    </row>
    <row r="385" spans="1:9">
      <c r="A385" s="3" t="s">
        <v>186</v>
      </c>
      <c r="B385" s="3" t="s">
        <v>10</v>
      </c>
      <c r="C385" s="3" t="s">
        <v>22</v>
      </c>
      <c r="D385" s="3" t="s">
        <v>40</v>
      </c>
      <c r="E385" s="3">
        <v>38</v>
      </c>
      <c r="F385" s="3">
        <v>6000</v>
      </c>
      <c r="G385" s="3">
        <v>141360</v>
      </c>
      <c r="H385" s="3">
        <v>228000</v>
      </c>
      <c r="I385" s="3">
        <f t="shared" si="5"/>
        <v>92640</v>
      </c>
    </row>
    <row r="386" spans="1:9">
      <c r="A386" s="3" t="s">
        <v>268</v>
      </c>
      <c r="B386" s="3" t="s">
        <v>14</v>
      </c>
      <c r="C386" s="3" t="s">
        <v>36</v>
      </c>
      <c r="D386" s="3" t="s">
        <v>40</v>
      </c>
      <c r="E386" s="3">
        <v>3</v>
      </c>
      <c r="F386" s="3">
        <v>6000</v>
      </c>
      <c r="G386" s="3">
        <v>11160</v>
      </c>
      <c r="H386" s="3">
        <v>18000</v>
      </c>
      <c r="I386" s="3">
        <f t="shared" si="5"/>
        <v>12840</v>
      </c>
    </row>
    <row r="387" spans="1:9">
      <c r="A387" s="3" t="s">
        <v>269</v>
      </c>
      <c r="B387" s="3" t="s">
        <v>10</v>
      </c>
      <c r="C387" s="3" t="s">
        <v>11</v>
      </c>
      <c r="D387" s="3" t="s">
        <v>40</v>
      </c>
      <c r="E387" s="3">
        <v>17</v>
      </c>
      <c r="F387" s="3">
        <v>6000</v>
      </c>
      <c r="G387" s="3">
        <v>63240</v>
      </c>
      <c r="H387" s="3">
        <v>102000</v>
      </c>
      <c r="I387" s="3">
        <f t="shared" ref="I387:I450" si="6">H387-(G387-F387)</f>
        <v>44760</v>
      </c>
    </row>
    <row r="388" spans="1:9">
      <c r="A388" s="3" t="s">
        <v>270</v>
      </c>
      <c r="B388" s="3" t="s">
        <v>20</v>
      </c>
      <c r="C388" s="3" t="s">
        <v>44</v>
      </c>
      <c r="D388" s="3" t="s">
        <v>40</v>
      </c>
      <c r="E388" s="3">
        <v>41</v>
      </c>
      <c r="F388" s="3">
        <v>6000</v>
      </c>
      <c r="G388" s="3">
        <v>152520</v>
      </c>
      <c r="H388" s="3">
        <v>246000</v>
      </c>
      <c r="I388" s="3">
        <f t="shared" si="6"/>
        <v>99480</v>
      </c>
    </row>
    <row r="389" spans="1:9">
      <c r="A389" s="3" t="s">
        <v>214</v>
      </c>
      <c r="B389" s="3" t="s">
        <v>47</v>
      </c>
      <c r="C389" s="3" t="s">
        <v>36</v>
      </c>
      <c r="D389" s="3" t="s">
        <v>12</v>
      </c>
      <c r="E389" s="3">
        <v>31</v>
      </c>
      <c r="F389" s="3">
        <v>800</v>
      </c>
      <c r="G389" s="3">
        <v>12400</v>
      </c>
      <c r="H389" s="3">
        <v>24800</v>
      </c>
      <c r="I389" s="3">
        <f t="shared" si="6"/>
        <v>13200</v>
      </c>
    </row>
    <row r="390" spans="1:9">
      <c r="A390" s="3" t="s">
        <v>271</v>
      </c>
      <c r="B390" s="3" t="s">
        <v>17</v>
      </c>
      <c r="C390" s="3" t="s">
        <v>36</v>
      </c>
      <c r="D390" s="3" t="s">
        <v>23</v>
      </c>
      <c r="E390" s="3">
        <v>5</v>
      </c>
      <c r="F390" s="3">
        <v>25000</v>
      </c>
      <c r="G390" s="3">
        <v>87500</v>
      </c>
      <c r="H390" s="3">
        <v>125000</v>
      </c>
      <c r="I390" s="3">
        <f t="shared" si="6"/>
        <v>62500</v>
      </c>
    </row>
    <row r="391" spans="1:9">
      <c r="A391" s="3" t="s">
        <v>166</v>
      </c>
      <c r="B391" s="3" t="s">
        <v>25</v>
      </c>
      <c r="C391" s="3" t="s">
        <v>22</v>
      </c>
      <c r="D391" s="3" t="s">
        <v>23</v>
      </c>
      <c r="E391" s="3">
        <v>27</v>
      </c>
      <c r="F391" s="3">
        <v>25000</v>
      </c>
      <c r="G391" s="3">
        <v>472500</v>
      </c>
      <c r="H391" s="3">
        <v>675000</v>
      </c>
      <c r="I391" s="3">
        <f t="shared" si="6"/>
        <v>227500</v>
      </c>
    </row>
    <row r="392" spans="1:9">
      <c r="A392" s="3" t="s">
        <v>152</v>
      </c>
      <c r="B392" s="3" t="s">
        <v>47</v>
      </c>
      <c r="C392" s="3" t="s">
        <v>22</v>
      </c>
      <c r="D392" s="3" t="s">
        <v>27</v>
      </c>
      <c r="E392" s="3">
        <v>39</v>
      </c>
      <c r="F392" s="3">
        <v>2200</v>
      </c>
      <c r="G392" s="3">
        <v>49764</v>
      </c>
      <c r="H392" s="3">
        <v>85800</v>
      </c>
      <c r="I392" s="3">
        <f t="shared" si="6"/>
        <v>38236</v>
      </c>
    </row>
    <row r="393" spans="1:9">
      <c r="A393" s="3" t="s">
        <v>272</v>
      </c>
      <c r="B393" s="3" t="s">
        <v>33</v>
      </c>
      <c r="C393" s="3" t="s">
        <v>36</v>
      </c>
      <c r="D393" s="3" t="s">
        <v>27</v>
      </c>
      <c r="E393" s="3">
        <v>26</v>
      </c>
      <c r="F393" s="3">
        <v>2200</v>
      </c>
      <c r="G393" s="3">
        <v>33176</v>
      </c>
      <c r="H393" s="3">
        <v>57200</v>
      </c>
      <c r="I393" s="3">
        <f t="shared" si="6"/>
        <v>26224</v>
      </c>
    </row>
    <row r="394" spans="1:9">
      <c r="A394" s="3" t="s">
        <v>227</v>
      </c>
      <c r="B394" s="3" t="s">
        <v>33</v>
      </c>
      <c r="C394" s="3" t="s">
        <v>11</v>
      </c>
      <c r="D394" s="3" t="s">
        <v>27</v>
      </c>
      <c r="E394" s="3">
        <v>16</v>
      </c>
      <c r="F394" s="3">
        <v>2200</v>
      </c>
      <c r="G394" s="3">
        <v>20416</v>
      </c>
      <c r="H394" s="3">
        <v>35200</v>
      </c>
      <c r="I394" s="3">
        <f t="shared" si="6"/>
        <v>16984</v>
      </c>
    </row>
    <row r="395" spans="1:9">
      <c r="A395" s="3" t="s">
        <v>273</v>
      </c>
      <c r="B395" s="3" t="s">
        <v>10</v>
      </c>
      <c r="C395" s="3" t="s">
        <v>36</v>
      </c>
      <c r="D395" s="3" t="s">
        <v>23</v>
      </c>
      <c r="E395" s="3">
        <v>16</v>
      </c>
      <c r="F395" s="3">
        <v>25000</v>
      </c>
      <c r="G395" s="3">
        <v>280000</v>
      </c>
      <c r="H395" s="3">
        <v>400000</v>
      </c>
      <c r="I395" s="3">
        <f t="shared" si="6"/>
        <v>145000</v>
      </c>
    </row>
    <row r="396" spans="1:9">
      <c r="A396" s="3" t="s">
        <v>274</v>
      </c>
      <c r="B396" s="3" t="s">
        <v>10</v>
      </c>
      <c r="C396" s="3" t="s">
        <v>11</v>
      </c>
      <c r="D396" s="3" t="s">
        <v>12</v>
      </c>
      <c r="E396" s="3">
        <v>25</v>
      </c>
      <c r="F396" s="3">
        <v>800</v>
      </c>
      <c r="G396" s="3">
        <v>10000</v>
      </c>
      <c r="H396" s="3">
        <v>20000</v>
      </c>
      <c r="I396" s="3">
        <f t="shared" si="6"/>
        <v>10800</v>
      </c>
    </row>
    <row r="397" spans="1:9">
      <c r="A397" s="3" t="s">
        <v>247</v>
      </c>
      <c r="B397" s="3" t="s">
        <v>17</v>
      </c>
      <c r="C397" s="3" t="s">
        <v>22</v>
      </c>
      <c r="D397" s="3" t="s">
        <v>51</v>
      </c>
      <c r="E397" s="3">
        <v>21</v>
      </c>
      <c r="F397" s="3">
        <v>15000</v>
      </c>
      <c r="G397" s="3">
        <v>204750</v>
      </c>
      <c r="H397" s="3">
        <v>315000</v>
      </c>
      <c r="I397" s="3">
        <f t="shared" si="6"/>
        <v>125250</v>
      </c>
    </row>
    <row r="398" spans="1:9">
      <c r="A398" s="3" t="s">
        <v>156</v>
      </c>
      <c r="B398" s="3" t="s">
        <v>33</v>
      </c>
      <c r="C398" s="3" t="s">
        <v>22</v>
      </c>
      <c r="D398" s="3" t="s">
        <v>51</v>
      </c>
      <c r="E398" s="3">
        <v>32</v>
      </c>
      <c r="F398" s="3">
        <v>15000</v>
      </c>
      <c r="G398" s="3">
        <v>312000</v>
      </c>
      <c r="H398" s="3">
        <v>480000</v>
      </c>
      <c r="I398" s="3">
        <f t="shared" si="6"/>
        <v>183000</v>
      </c>
    </row>
    <row r="399" spans="1:9">
      <c r="A399" s="3" t="s">
        <v>275</v>
      </c>
      <c r="B399" s="3" t="s">
        <v>47</v>
      </c>
      <c r="C399" s="3" t="s">
        <v>44</v>
      </c>
      <c r="D399" s="3" t="s">
        <v>12</v>
      </c>
      <c r="E399" s="3">
        <v>32</v>
      </c>
      <c r="F399" s="3">
        <v>800</v>
      </c>
      <c r="G399" s="3">
        <v>12800</v>
      </c>
      <c r="H399" s="3">
        <v>25600</v>
      </c>
      <c r="I399" s="3">
        <f t="shared" si="6"/>
        <v>13600</v>
      </c>
    </row>
    <row r="400" spans="1:9">
      <c r="A400" s="3" t="s">
        <v>276</v>
      </c>
      <c r="B400" s="3" t="s">
        <v>10</v>
      </c>
      <c r="C400" s="3" t="s">
        <v>44</v>
      </c>
      <c r="D400" s="3" t="s">
        <v>15</v>
      </c>
      <c r="E400" s="3">
        <v>30</v>
      </c>
      <c r="F400" s="3">
        <v>3500</v>
      </c>
      <c r="G400" s="3">
        <v>63000</v>
      </c>
      <c r="H400" s="3">
        <v>105000</v>
      </c>
      <c r="I400" s="3">
        <f t="shared" si="6"/>
        <v>45500</v>
      </c>
    </row>
    <row r="401" spans="1:9">
      <c r="A401" s="3" t="s">
        <v>61</v>
      </c>
      <c r="B401" s="3" t="s">
        <v>20</v>
      </c>
      <c r="C401" s="3" t="s">
        <v>36</v>
      </c>
      <c r="D401" s="3" t="s">
        <v>18</v>
      </c>
      <c r="E401" s="3">
        <v>4</v>
      </c>
      <c r="F401" s="3">
        <v>55000</v>
      </c>
      <c r="G401" s="3">
        <v>158400</v>
      </c>
      <c r="H401" s="3">
        <v>220000</v>
      </c>
      <c r="I401" s="3">
        <f t="shared" si="6"/>
        <v>116600</v>
      </c>
    </row>
    <row r="402" spans="1:9">
      <c r="A402" s="3" t="s">
        <v>244</v>
      </c>
      <c r="B402" s="3" t="s">
        <v>47</v>
      </c>
      <c r="C402" s="3" t="s">
        <v>44</v>
      </c>
      <c r="D402" s="3" t="s">
        <v>12</v>
      </c>
      <c r="E402" s="3">
        <v>35</v>
      </c>
      <c r="F402" s="3">
        <v>800</v>
      </c>
      <c r="G402" s="3">
        <v>14000</v>
      </c>
      <c r="H402" s="3">
        <v>28000</v>
      </c>
      <c r="I402" s="3">
        <f t="shared" si="6"/>
        <v>14800</v>
      </c>
    </row>
    <row r="403" spans="1:9">
      <c r="A403" s="3" t="s">
        <v>197</v>
      </c>
      <c r="B403" s="3" t="s">
        <v>10</v>
      </c>
      <c r="C403" s="3" t="s">
        <v>44</v>
      </c>
      <c r="D403" s="3" t="s">
        <v>51</v>
      </c>
      <c r="E403" s="3">
        <v>17</v>
      </c>
      <c r="F403" s="3">
        <v>15000</v>
      </c>
      <c r="G403" s="3">
        <v>165750</v>
      </c>
      <c r="H403" s="3">
        <v>255000</v>
      </c>
      <c r="I403" s="3">
        <f t="shared" si="6"/>
        <v>104250</v>
      </c>
    </row>
    <row r="404" spans="1:9">
      <c r="A404" s="3" t="s">
        <v>202</v>
      </c>
      <c r="B404" s="3" t="s">
        <v>17</v>
      </c>
      <c r="C404" s="3" t="s">
        <v>36</v>
      </c>
      <c r="D404" s="3" t="s">
        <v>18</v>
      </c>
      <c r="E404" s="3">
        <v>26</v>
      </c>
      <c r="F404" s="3">
        <v>55000</v>
      </c>
      <c r="G404" s="3">
        <v>1029600</v>
      </c>
      <c r="H404" s="3">
        <v>1430000</v>
      </c>
      <c r="I404" s="3">
        <f t="shared" si="6"/>
        <v>455400</v>
      </c>
    </row>
    <row r="405" spans="1:9">
      <c r="A405" s="3" t="s">
        <v>174</v>
      </c>
      <c r="B405" s="3" t="s">
        <v>20</v>
      </c>
      <c r="C405" s="3" t="s">
        <v>36</v>
      </c>
      <c r="D405" s="3" t="s">
        <v>15</v>
      </c>
      <c r="E405" s="3">
        <v>19</v>
      </c>
      <c r="F405" s="3">
        <v>3500</v>
      </c>
      <c r="G405" s="3">
        <v>39900</v>
      </c>
      <c r="H405" s="3">
        <v>66500</v>
      </c>
      <c r="I405" s="3">
        <f t="shared" si="6"/>
        <v>30100</v>
      </c>
    </row>
    <row r="406" spans="1:9">
      <c r="A406" s="3" t="s">
        <v>86</v>
      </c>
      <c r="B406" s="3" t="s">
        <v>17</v>
      </c>
      <c r="C406" s="3" t="s">
        <v>44</v>
      </c>
      <c r="D406" s="3" t="s">
        <v>15</v>
      </c>
      <c r="E406" s="3">
        <v>18</v>
      </c>
      <c r="F406" s="3">
        <v>3500</v>
      </c>
      <c r="G406" s="3">
        <v>37800</v>
      </c>
      <c r="H406" s="3">
        <v>63000</v>
      </c>
      <c r="I406" s="3">
        <f t="shared" si="6"/>
        <v>28700</v>
      </c>
    </row>
    <row r="407" spans="1:9">
      <c r="A407" s="3" t="s">
        <v>277</v>
      </c>
      <c r="B407" s="3" t="s">
        <v>10</v>
      </c>
      <c r="C407" s="3" t="s">
        <v>22</v>
      </c>
      <c r="D407" s="3" t="s">
        <v>34</v>
      </c>
      <c r="E407" s="3">
        <v>26</v>
      </c>
      <c r="F407" s="3">
        <v>45000</v>
      </c>
      <c r="G407" s="3">
        <v>819000</v>
      </c>
      <c r="H407" s="3">
        <v>1170000</v>
      </c>
      <c r="I407" s="3">
        <f t="shared" si="6"/>
        <v>396000</v>
      </c>
    </row>
    <row r="408" spans="1:9">
      <c r="A408" s="3" t="s">
        <v>246</v>
      </c>
      <c r="B408" s="3" t="s">
        <v>33</v>
      </c>
      <c r="C408" s="3" t="s">
        <v>36</v>
      </c>
      <c r="D408" s="3" t="s">
        <v>51</v>
      </c>
      <c r="E408" s="3">
        <v>13</v>
      </c>
      <c r="F408" s="3">
        <v>15000</v>
      </c>
      <c r="G408" s="3">
        <v>126750</v>
      </c>
      <c r="H408" s="3">
        <v>195000</v>
      </c>
      <c r="I408" s="3">
        <f t="shared" si="6"/>
        <v>83250</v>
      </c>
    </row>
    <row r="409" spans="1:9">
      <c r="A409" s="3" t="s">
        <v>262</v>
      </c>
      <c r="B409" s="3" t="s">
        <v>17</v>
      </c>
      <c r="C409" s="3" t="s">
        <v>11</v>
      </c>
      <c r="D409" s="3" t="s">
        <v>18</v>
      </c>
      <c r="E409" s="3">
        <v>3</v>
      </c>
      <c r="F409" s="3">
        <v>55000</v>
      </c>
      <c r="G409" s="3">
        <v>118800</v>
      </c>
      <c r="H409" s="3">
        <v>165000</v>
      </c>
      <c r="I409" s="3">
        <f t="shared" si="6"/>
        <v>101200</v>
      </c>
    </row>
    <row r="410" spans="1:9">
      <c r="A410" s="3" t="s">
        <v>278</v>
      </c>
      <c r="B410" s="3" t="s">
        <v>33</v>
      </c>
      <c r="C410" s="3" t="s">
        <v>44</v>
      </c>
      <c r="D410" s="3" t="s">
        <v>15</v>
      </c>
      <c r="E410" s="3">
        <v>30</v>
      </c>
      <c r="F410" s="3">
        <v>3500</v>
      </c>
      <c r="G410" s="3">
        <v>63000</v>
      </c>
      <c r="H410" s="3">
        <v>105000</v>
      </c>
      <c r="I410" s="3">
        <f t="shared" si="6"/>
        <v>45500</v>
      </c>
    </row>
    <row r="411" spans="1:9">
      <c r="A411" s="3" t="s">
        <v>279</v>
      </c>
      <c r="B411" s="3" t="s">
        <v>14</v>
      </c>
      <c r="C411" s="3" t="s">
        <v>36</v>
      </c>
      <c r="D411" s="3" t="s">
        <v>40</v>
      </c>
      <c r="E411" s="3">
        <v>21</v>
      </c>
      <c r="F411" s="3">
        <v>6000</v>
      </c>
      <c r="G411" s="3">
        <v>78120</v>
      </c>
      <c r="H411" s="3">
        <v>126000</v>
      </c>
      <c r="I411" s="3">
        <f t="shared" si="6"/>
        <v>53880</v>
      </c>
    </row>
    <row r="412" spans="1:9">
      <c r="A412" s="3" t="s">
        <v>280</v>
      </c>
      <c r="B412" s="3" t="s">
        <v>17</v>
      </c>
      <c r="C412" s="3" t="s">
        <v>36</v>
      </c>
      <c r="D412" s="3" t="s">
        <v>40</v>
      </c>
      <c r="E412" s="3">
        <v>22</v>
      </c>
      <c r="F412" s="3">
        <v>6000</v>
      </c>
      <c r="G412" s="3">
        <v>81840</v>
      </c>
      <c r="H412" s="3">
        <v>132000</v>
      </c>
      <c r="I412" s="3">
        <f t="shared" si="6"/>
        <v>56160</v>
      </c>
    </row>
    <row r="413" spans="1:9">
      <c r="A413" s="3" t="s">
        <v>57</v>
      </c>
      <c r="B413" s="3" t="s">
        <v>47</v>
      </c>
      <c r="C413" s="3" t="s">
        <v>36</v>
      </c>
      <c r="D413" s="3" t="s">
        <v>23</v>
      </c>
      <c r="E413" s="3">
        <v>2</v>
      </c>
      <c r="F413" s="3">
        <v>25000</v>
      </c>
      <c r="G413" s="3">
        <v>35000</v>
      </c>
      <c r="H413" s="3">
        <v>50000</v>
      </c>
      <c r="I413" s="3">
        <f t="shared" si="6"/>
        <v>40000</v>
      </c>
    </row>
    <row r="414" spans="1:9">
      <c r="A414" s="3" t="s">
        <v>281</v>
      </c>
      <c r="B414" s="3" t="s">
        <v>33</v>
      </c>
      <c r="C414" s="3" t="s">
        <v>11</v>
      </c>
      <c r="D414" s="3" t="s">
        <v>26</v>
      </c>
      <c r="E414" s="3">
        <v>38</v>
      </c>
      <c r="F414" s="3">
        <v>12000</v>
      </c>
      <c r="G414" s="3">
        <v>310080</v>
      </c>
      <c r="H414" s="3">
        <v>456000</v>
      </c>
      <c r="I414" s="3">
        <f t="shared" si="6"/>
        <v>157920</v>
      </c>
    </row>
    <row r="415" spans="1:9">
      <c r="A415" s="3" t="s">
        <v>96</v>
      </c>
      <c r="B415" s="3" t="s">
        <v>25</v>
      </c>
      <c r="C415" s="3" t="s">
        <v>44</v>
      </c>
      <c r="D415" s="3" t="s">
        <v>12</v>
      </c>
      <c r="E415" s="3">
        <v>42</v>
      </c>
      <c r="F415" s="3">
        <v>800</v>
      </c>
      <c r="G415" s="3">
        <v>16800</v>
      </c>
      <c r="H415" s="3">
        <v>33600</v>
      </c>
      <c r="I415" s="3">
        <f t="shared" si="6"/>
        <v>17600</v>
      </c>
    </row>
    <row r="416" spans="1:9">
      <c r="A416" s="3" t="s">
        <v>282</v>
      </c>
      <c r="B416" s="3" t="s">
        <v>20</v>
      </c>
      <c r="C416" s="3" t="s">
        <v>11</v>
      </c>
      <c r="D416" s="3" t="s">
        <v>40</v>
      </c>
      <c r="E416" s="3">
        <v>31</v>
      </c>
      <c r="F416" s="3">
        <v>6000</v>
      </c>
      <c r="G416" s="3">
        <v>115320</v>
      </c>
      <c r="H416" s="3">
        <v>186000</v>
      </c>
      <c r="I416" s="3">
        <f t="shared" si="6"/>
        <v>76680</v>
      </c>
    </row>
    <row r="417" spans="1:9">
      <c r="A417" s="3" t="s">
        <v>41</v>
      </c>
      <c r="B417" s="3" t="s">
        <v>17</v>
      </c>
      <c r="C417" s="3" t="s">
        <v>22</v>
      </c>
      <c r="D417" s="3" t="s">
        <v>60</v>
      </c>
      <c r="E417" s="3">
        <v>3</v>
      </c>
      <c r="F417" s="3">
        <v>1500</v>
      </c>
      <c r="G417" s="3">
        <v>2475</v>
      </c>
      <c r="H417" s="3">
        <v>4500</v>
      </c>
      <c r="I417" s="3">
        <f t="shared" si="6"/>
        <v>3525</v>
      </c>
    </row>
    <row r="418" spans="1:9">
      <c r="A418" s="3" t="s">
        <v>283</v>
      </c>
      <c r="B418" s="3" t="s">
        <v>10</v>
      </c>
      <c r="C418" s="3" t="s">
        <v>22</v>
      </c>
      <c r="D418" s="3" t="s">
        <v>18</v>
      </c>
      <c r="E418" s="3">
        <v>29</v>
      </c>
      <c r="F418" s="3">
        <v>55000</v>
      </c>
      <c r="G418" s="3">
        <v>1148400</v>
      </c>
      <c r="H418" s="3">
        <v>1595000</v>
      </c>
      <c r="I418" s="3">
        <f t="shared" si="6"/>
        <v>501600</v>
      </c>
    </row>
    <row r="419" spans="1:9">
      <c r="A419" s="3" t="s">
        <v>85</v>
      </c>
      <c r="B419" s="3" t="s">
        <v>17</v>
      </c>
      <c r="C419" s="3" t="s">
        <v>22</v>
      </c>
      <c r="D419" s="3" t="s">
        <v>26</v>
      </c>
      <c r="E419" s="3">
        <v>45</v>
      </c>
      <c r="F419" s="3">
        <v>12000</v>
      </c>
      <c r="G419" s="3">
        <v>367200</v>
      </c>
      <c r="H419" s="3">
        <v>540000</v>
      </c>
      <c r="I419" s="3">
        <f t="shared" si="6"/>
        <v>184800</v>
      </c>
    </row>
    <row r="420" spans="1:9">
      <c r="A420" s="3" t="s">
        <v>284</v>
      </c>
      <c r="B420" s="3" t="s">
        <v>17</v>
      </c>
      <c r="C420" s="3" t="s">
        <v>44</v>
      </c>
      <c r="D420" s="3" t="s">
        <v>18</v>
      </c>
      <c r="E420" s="3">
        <v>46</v>
      </c>
      <c r="F420" s="3">
        <v>55000</v>
      </c>
      <c r="G420" s="3">
        <v>1821600</v>
      </c>
      <c r="H420" s="3">
        <v>2530000</v>
      </c>
      <c r="I420" s="3">
        <f t="shared" si="6"/>
        <v>763400</v>
      </c>
    </row>
    <row r="421" spans="1:9">
      <c r="A421" s="3" t="s">
        <v>278</v>
      </c>
      <c r="B421" s="3" t="s">
        <v>20</v>
      </c>
      <c r="C421" s="3" t="s">
        <v>36</v>
      </c>
      <c r="D421" s="3" t="s">
        <v>23</v>
      </c>
      <c r="E421" s="3">
        <v>34</v>
      </c>
      <c r="F421" s="3">
        <v>25000</v>
      </c>
      <c r="G421" s="3">
        <v>595000</v>
      </c>
      <c r="H421" s="3">
        <v>850000</v>
      </c>
      <c r="I421" s="3">
        <f t="shared" si="6"/>
        <v>280000</v>
      </c>
    </row>
    <row r="422" spans="1:9">
      <c r="A422" s="3" t="s">
        <v>223</v>
      </c>
      <c r="B422" s="3" t="s">
        <v>33</v>
      </c>
      <c r="C422" s="3" t="s">
        <v>22</v>
      </c>
      <c r="D422" s="3" t="s">
        <v>23</v>
      </c>
      <c r="E422" s="3">
        <v>35</v>
      </c>
      <c r="F422" s="3">
        <v>25000</v>
      </c>
      <c r="G422" s="3">
        <v>612500</v>
      </c>
      <c r="H422" s="3">
        <v>875000</v>
      </c>
      <c r="I422" s="3">
        <f t="shared" si="6"/>
        <v>287500</v>
      </c>
    </row>
    <row r="423" spans="1:9">
      <c r="A423" s="3" t="s">
        <v>234</v>
      </c>
      <c r="B423" s="3" t="s">
        <v>33</v>
      </c>
      <c r="C423" s="3" t="s">
        <v>36</v>
      </c>
      <c r="D423" s="3" t="s">
        <v>40</v>
      </c>
      <c r="E423" s="3">
        <v>31</v>
      </c>
      <c r="F423" s="3">
        <v>6000</v>
      </c>
      <c r="G423" s="3">
        <v>115320</v>
      </c>
      <c r="H423" s="3">
        <v>186000</v>
      </c>
      <c r="I423" s="3">
        <f t="shared" si="6"/>
        <v>76680</v>
      </c>
    </row>
    <row r="424" spans="1:9">
      <c r="A424" s="3" t="s">
        <v>285</v>
      </c>
      <c r="B424" s="3" t="s">
        <v>20</v>
      </c>
      <c r="C424" s="3" t="s">
        <v>36</v>
      </c>
      <c r="D424" s="3" t="s">
        <v>15</v>
      </c>
      <c r="E424" s="3">
        <v>20</v>
      </c>
      <c r="F424" s="3">
        <v>3500</v>
      </c>
      <c r="G424" s="3">
        <v>42000</v>
      </c>
      <c r="H424" s="3">
        <v>70000</v>
      </c>
      <c r="I424" s="3">
        <f t="shared" si="6"/>
        <v>31500</v>
      </c>
    </row>
    <row r="425" spans="1:9">
      <c r="A425" s="3" t="s">
        <v>220</v>
      </c>
      <c r="B425" s="3" t="s">
        <v>30</v>
      </c>
      <c r="C425" s="3" t="s">
        <v>36</v>
      </c>
      <c r="D425" s="3" t="s">
        <v>60</v>
      </c>
      <c r="E425" s="3">
        <v>45</v>
      </c>
      <c r="F425" s="3">
        <v>1500</v>
      </c>
      <c r="G425" s="3">
        <v>37125</v>
      </c>
      <c r="H425" s="3">
        <v>67500</v>
      </c>
      <c r="I425" s="3">
        <f t="shared" si="6"/>
        <v>31875</v>
      </c>
    </row>
    <row r="426" spans="1:9">
      <c r="A426" s="3" t="s">
        <v>286</v>
      </c>
      <c r="B426" s="3" t="s">
        <v>47</v>
      </c>
      <c r="C426" s="3" t="s">
        <v>36</v>
      </c>
      <c r="D426" s="3" t="s">
        <v>23</v>
      </c>
      <c r="E426" s="3">
        <v>23</v>
      </c>
      <c r="F426" s="3">
        <v>25000</v>
      </c>
      <c r="G426" s="3">
        <v>402500</v>
      </c>
      <c r="H426" s="3">
        <v>575000</v>
      </c>
      <c r="I426" s="3">
        <f t="shared" si="6"/>
        <v>197500</v>
      </c>
    </row>
    <row r="427" spans="1:9">
      <c r="A427" s="3" t="s">
        <v>98</v>
      </c>
      <c r="B427" s="3" t="s">
        <v>30</v>
      </c>
      <c r="C427" s="3" t="s">
        <v>36</v>
      </c>
      <c r="D427" s="3" t="s">
        <v>34</v>
      </c>
      <c r="E427" s="3">
        <v>37</v>
      </c>
      <c r="F427" s="3">
        <v>45000</v>
      </c>
      <c r="G427" s="3">
        <v>1165500</v>
      </c>
      <c r="H427" s="3">
        <v>1665000</v>
      </c>
      <c r="I427" s="3">
        <f t="shared" si="6"/>
        <v>544500</v>
      </c>
    </row>
    <row r="428" spans="1:9">
      <c r="A428" s="3" t="s">
        <v>287</v>
      </c>
      <c r="B428" s="3" t="s">
        <v>17</v>
      </c>
      <c r="C428" s="3" t="s">
        <v>44</v>
      </c>
      <c r="D428" s="3" t="s">
        <v>27</v>
      </c>
      <c r="E428" s="3">
        <v>50</v>
      </c>
      <c r="F428" s="3">
        <v>2200</v>
      </c>
      <c r="G428" s="3">
        <v>63800</v>
      </c>
      <c r="H428" s="3">
        <v>110000</v>
      </c>
      <c r="I428" s="3">
        <f t="shared" si="6"/>
        <v>48400</v>
      </c>
    </row>
    <row r="429" spans="1:9">
      <c r="A429" s="3" t="s">
        <v>190</v>
      </c>
      <c r="B429" s="3" t="s">
        <v>30</v>
      </c>
      <c r="C429" s="3" t="s">
        <v>11</v>
      </c>
      <c r="D429" s="3" t="s">
        <v>12</v>
      </c>
      <c r="E429" s="3">
        <v>46</v>
      </c>
      <c r="F429" s="3">
        <v>800</v>
      </c>
      <c r="G429" s="3">
        <v>18400</v>
      </c>
      <c r="H429" s="3">
        <v>36800</v>
      </c>
      <c r="I429" s="3">
        <f t="shared" si="6"/>
        <v>19200</v>
      </c>
    </row>
    <row r="430" spans="1:9">
      <c r="A430" s="3" t="s">
        <v>263</v>
      </c>
      <c r="B430" s="3" t="s">
        <v>33</v>
      </c>
      <c r="C430" s="3" t="s">
        <v>44</v>
      </c>
      <c r="D430" s="3" t="s">
        <v>12</v>
      </c>
      <c r="E430" s="3">
        <v>48</v>
      </c>
      <c r="F430" s="3">
        <v>800</v>
      </c>
      <c r="G430" s="3">
        <v>19200</v>
      </c>
      <c r="H430" s="3">
        <v>38400</v>
      </c>
      <c r="I430" s="3">
        <f t="shared" si="6"/>
        <v>20000</v>
      </c>
    </row>
    <row r="431" spans="1:9">
      <c r="A431" s="3" t="s">
        <v>255</v>
      </c>
      <c r="B431" s="3" t="s">
        <v>20</v>
      </c>
      <c r="C431" s="3" t="s">
        <v>22</v>
      </c>
      <c r="D431" s="3" t="s">
        <v>15</v>
      </c>
      <c r="E431" s="3">
        <v>18</v>
      </c>
      <c r="F431" s="3">
        <v>3500</v>
      </c>
      <c r="G431" s="3">
        <v>37800</v>
      </c>
      <c r="H431" s="3">
        <v>63000</v>
      </c>
      <c r="I431" s="3">
        <f t="shared" si="6"/>
        <v>28700</v>
      </c>
    </row>
    <row r="432" spans="1:9">
      <c r="A432" s="3" t="s">
        <v>204</v>
      </c>
      <c r="B432" s="3" t="s">
        <v>30</v>
      </c>
      <c r="C432" s="3" t="s">
        <v>22</v>
      </c>
      <c r="D432" s="3" t="s">
        <v>34</v>
      </c>
      <c r="E432" s="3">
        <v>40</v>
      </c>
      <c r="F432" s="3">
        <v>45000</v>
      </c>
      <c r="G432" s="3">
        <v>1260000</v>
      </c>
      <c r="H432" s="3">
        <v>1800000</v>
      </c>
      <c r="I432" s="3">
        <f t="shared" si="6"/>
        <v>585000</v>
      </c>
    </row>
    <row r="433" spans="1:9">
      <c r="A433" s="3" t="s">
        <v>194</v>
      </c>
      <c r="B433" s="3" t="s">
        <v>20</v>
      </c>
      <c r="C433" s="3" t="s">
        <v>22</v>
      </c>
      <c r="D433" s="3" t="s">
        <v>18</v>
      </c>
      <c r="E433" s="3">
        <v>43</v>
      </c>
      <c r="F433" s="3">
        <v>55000</v>
      </c>
      <c r="G433" s="3">
        <v>1702800</v>
      </c>
      <c r="H433" s="3">
        <v>2365000</v>
      </c>
      <c r="I433" s="3">
        <f t="shared" si="6"/>
        <v>717200</v>
      </c>
    </row>
    <row r="434" spans="1:9">
      <c r="A434" s="3" t="s">
        <v>118</v>
      </c>
      <c r="B434" s="3" t="s">
        <v>20</v>
      </c>
      <c r="C434" s="3" t="s">
        <v>22</v>
      </c>
      <c r="D434" s="3" t="s">
        <v>18</v>
      </c>
      <c r="E434" s="3">
        <v>7</v>
      </c>
      <c r="F434" s="3">
        <v>55000</v>
      </c>
      <c r="G434" s="3">
        <v>277200</v>
      </c>
      <c r="H434" s="3">
        <v>385000</v>
      </c>
      <c r="I434" s="3">
        <f t="shared" si="6"/>
        <v>162800</v>
      </c>
    </row>
    <row r="435" spans="1:9">
      <c r="A435" s="3" t="s">
        <v>216</v>
      </c>
      <c r="B435" s="3" t="s">
        <v>33</v>
      </c>
      <c r="C435" s="3" t="s">
        <v>44</v>
      </c>
      <c r="D435" s="3" t="s">
        <v>34</v>
      </c>
      <c r="E435" s="3">
        <v>44</v>
      </c>
      <c r="F435" s="3">
        <v>45000</v>
      </c>
      <c r="G435" s="3">
        <v>1386000</v>
      </c>
      <c r="H435" s="3">
        <v>1980000</v>
      </c>
      <c r="I435" s="3">
        <f t="shared" si="6"/>
        <v>639000</v>
      </c>
    </row>
    <row r="436" spans="1:9">
      <c r="A436" s="3" t="s">
        <v>278</v>
      </c>
      <c r="B436" s="3" t="s">
        <v>25</v>
      </c>
      <c r="C436" s="3" t="s">
        <v>22</v>
      </c>
      <c r="D436" s="3" t="s">
        <v>26</v>
      </c>
      <c r="E436" s="3">
        <v>42</v>
      </c>
      <c r="F436" s="3">
        <v>12000</v>
      </c>
      <c r="G436" s="3">
        <v>342720</v>
      </c>
      <c r="H436" s="3">
        <v>504000</v>
      </c>
      <c r="I436" s="3">
        <f t="shared" si="6"/>
        <v>173280</v>
      </c>
    </row>
    <row r="437" spans="1:9">
      <c r="A437" s="3" t="s">
        <v>120</v>
      </c>
      <c r="B437" s="3" t="s">
        <v>47</v>
      </c>
      <c r="C437" s="3" t="s">
        <v>22</v>
      </c>
      <c r="D437" s="3" t="s">
        <v>12</v>
      </c>
      <c r="E437" s="3">
        <v>21</v>
      </c>
      <c r="F437" s="3">
        <v>800</v>
      </c>
      <c r="G437" s="3">
        <v>8400</v>
      </c>
      <c r="H437" s="3">
        <v>16800</v>
      </c>
      <c r="I437" s="3">
        <f t="shared" si="6"/>
        <v>9200</v>
      </c>
    </row>
    <row r="438" spans="1:9">
      <c r="A438" s="3" t="s">
        <v>78</v>
      </c>
      <c r="B438" s="3" t="s">
        <v>25</v>
      </c>
      <c r="C438" s="3" t="s">
        <v>11</v>
      </c>
      <c r="D438" s="3" t="s">
        <v>40</v>
      </c>
      <c r="E438" s="3">
        <v>15</v>
      </c>
      <c r="F438" s="3">
        <v>6000</v>
      </c>
      <c r="G438" s="3">
        <v>55800</v>
      </c>
      <c r="H438" s="3">
        <v>90000</v>
      </c>
      <c r="I438" s="3">
        <f t="shared" si="6"/>
        <v>40200</v>
      </c>
    </row>
    <row r="439" spans="1:9">
      <c r="A439" s="3" t="s">
        <v>186</v>
      </c>
      <c r="B439" s="3" t="s">
        <v>25</v>
      </c>
      <c r="C439" s="3" t="s">
        <v>22</v>
      </c>
      <c r="D439" s="3" t="s">
        <v>26</v>
      </c>
      <c r="E439" s="3">
        <v>12</v>
      </c>
      <c r="F439" s="3">
        <v>12000</v>
      </c>
      <c r="G439" s="3">
        <v>97920</v>
      </c>
      <c r="H439" s="3">
        <v>144000</v>
      </c>
      <c r="I439" s="3">
        <f t="shared" si="6"/>
        <v>58080</v>
      </c>
    </row>
    <row r="440" spans="1:9">
      <c r="A440" s="3" t="s">
        <v>187</v>
      </c>
      <c r="B440" s="3" t="s">
        <v>17</v>
      </c>
      <c r="C440" s="3" t="s">
        <v>44</v>
      </c>
      <c r="D440" s="3" t="s">
        <v>51</v>
      </c>
      <c r="E440" s="3">
        <v>48</v>
      </c>
      <c r="F440" s="3">
        <v>15000</v>
      </c>
      <c r="G440" s="3">
        <v>468000</v>
      </c>
      <c r="H440" s="3">
        <v>720000</v>
      </c>
      <c r="I440" s="3">
        <f t="shared" si="6"/>
        <v>267000</v>
      </c>
    </row>
    <row r="441" spans="1:9">
      <c r="A441" s="3" t="s">
        <v>288</v>
      </c>
      <c r="B441" s="3" t="s">
        <v>25</v>
      </c>
      <c r="C441" s="3" t="s">
        <v>11</v>
      </c>
      <c r="D441" s="3" t="s">
        <v>12</v>
      </c>
      <c r="E441" s="3">
        <v>37</v>
      </c>
      <c r="F441" s="3">
        <v>800</v>
      </c>
      <c r="G441" s="3">
        <v>14800</v>
      </c>
      <c r="H441" s="3">
        <v>29600</v>
      </c>
      <c r="I441" s="3">
        <f t="shared" si="6"/>
        <v>15600</v>
      </c>
    </row>
    <row r="442" spans="1:9">
      <c r="A442" s="3" t="s">
        <v>262</v>
      </c>
      <c r="B442" s="3" t="s">
        <v>10</v>
      </c>
      <c r="C442" s="3" t="s">
        <v>36</v>
      </c>
      <c r="D442" s="3" t="s">
        <v>12</v>
      </c>
      <c r="E442" s="3">
        <v>30</v>
      </c>
      <c r="F442" s="3">
        <v>800</v>
      </c>
      <c r="G442" s="3">
        <v>12000</v>
      </c>
      <c r="H442" s="3">
        <v>24000</v>
      </c>
      <c r="I442" s="3">
        <f t="shared" si="6"/>
        <v>12800</v>
      </c>
    </row>
    <row r="443" spans="1:9">
      <c r="A443" s="3" t="s">
        <v>104</v>
      </c>
      <c r="B443" s="3" t="s">
        <v>47</v>
      </c>
      <c r="C443" s="3" t="s">
        <v>22</v>
      </c>
      <c r="D443" s="3" t="s">
        <v>15</v>
      </c>
      <c r="E443" s="3">
        <v>30</v>
      </c>
      <c r="F443" s="3">
        <v>3500</v>
      </c>
      <c r="G443" s="3">
        <v>63000</v>
      </c>
      <c r="H443" s="3">
        <v>105000</v>
      </c>
      <c r="I443" s="3">
        <f t="shared" si="6"/>
        <v>45500</v>
      </c>
    </row>
    <row r="444" spans="1:9">
      <c r="A444" s="3" t="s">
        <v>91</v>
      </c>
      <c r="B444" s="3" t="s">
        <v>20</v>
      </c>
      <c r="C444" s="3" t="s">
        <v>11</v>
      </c>
      <c r="D444" s="3" t="s">
        <v>27</v>
      </c>
      <c r="E444" s="3">
        <v>11</v>
      </c>
      <c r="F444" s="3">
        <v>2200</v>
      </c>
      <c r="G444" s="3">
        <v>14036</v>
      </c>
      <c r="H444" s="3">
        <v>24200</v>
      </c>
      <c r="I444" s="3">
        <f t="shared" si="6"/>
        <v>12364</v>
      </c>
    </row>
    <row r="445" spans="1:9">
      <c r="A445" s="3" t="s">
        <v>256</v>
      </c>
      <c r="B445" s="3" t="s">
        <v>30</v>
      </c>
      <c r="C445" s="3" t="s">
        <v>22</v>
      </c>
      <c r="D445" s="3" t="s">
        <v>18</v>
      </c>
      <c r="E445" s="3">
        <v>48</v>
      </c>
      <c r="F445" s="3">
        <v>55000</v>
      </c>
      <c r="G445" s="3">
        <v>1900800</v>
      </c>
      <c r="H445" s="3">
        <v>2640000</v>
      </c>
      <c r="I445" s="3">
        <f t="shared" si="6"/>
        <v>794200</v>
      </c>
    </row>
    <row r="446" spans="1:9">
      <c r="A446" s="3" t="s">
        <v>289</v>
      </c>
      <c r="B446" s="3" t="s">
        <v>30</v>
      </c>
      <c r="C446" s="3" t="s">
        <v>22</v>
      </c>
      <c r="D446" s="3" t="s">
        <v>51</v>
      </c>
      <c r="E446" s="3">
        <v>40</v>
      </c>
      <c r="F446" s="3">
        <v>15000</v>
      </c>
      <c r="G446" s="3">
        <v>390000</v>
      </c>
      <c r="H446" s="3">
        <v>600000</v>
      </c>
      <c r="I446" s="3">
        <f t="shared" si="6"/>
        <v>225000</v>
      </c>
    </row>
    <row r="447" spans="1:9">
      <c r="A447" s="3" t="s">
        <v>9</v>
      </c>
      <c r="B447" s="3" t="s">
        <v>17</v>
      </c>
      <c r="C447" s="3" t="s">
        <v>44</v>
      </c>
      <c r="D447" s="3" t="s">
        <v>15</v>
      </c>
      <c r="E447" s="3">
        <v>21</v>
      </c>
      <c r="F447" s="3">
        <v>3500</v>
      </c>
      <c r="G447" s="3">
        <v>44100</v>
      </c>
      <c r="H447" s="3">
        <v>73500</v>
      </c>
      <c r="I447" s="3">
        <f t="shared" si="6"/>
        <v>32900</v>
      </c>
    </row>
    <row r="448" spans="1:9">
      <c r="A448" s="3" t="s">
        <v>290</v>
      </c>
      <c r="B448" s="3" t="s">
        <v>17</v>
      </c>
      <c r="C448" s="3" t="s">
        <v>11</v>
      </c>
      <c r="D448" s="3" t="s">
        <v>51</v>
      </c>
      <c r="E448" s="3">
        <v>9</v>
      </c>
      <c r="F448" s="3">
        <v>15000</v>
      </c>
      <c r="G448" s="3">
        <v>87750</v>
      </c>
      <c r="H448" s="3">
        <v>135000</v>
      </c>
      <c r="I448" s="3">
        <f t="shared" si="6"/>
        <v>62250</v>
      </c>
    </row>
    <row r="449" spans="1:9">
      <c r="A449" s="3" t="s">
        <v>291</v>
      </c>
      <c r="B449" s="3" t="s">
        <v>33</v>
      </c>
      <c r="C449" s="3" t="s">
        <v>22</v>
      </c>
      <c r="D449" s="3" t="s">
        <v>18</v>
      </c>
      <c r="E449" s="3">
        <v>17</v>
      </c>
      <c r="F449" s="3">
        <v>55000</v>
      </c>
      <c r="G449" s="3">
        <v>673200</v>
      </c>
      <c r="H449" s="3">
        <v>935000</v>
      </c>
      <c r="I449" s="3">
        <f t="shared" si="6"/>
        <v>316800</v>
      </c>
    </row>
    <row r="450" spans="1:9">
      <c r="A450" s="3" t="s">
        <v>124</v>
      </c>
      <c r="B450" s="3" t="s">
        <v>20</v>
      </c>
      <c r="C450" s="3" t="s">
        <v>44</v>
      </c>
      <c r="D450" s="3" t="s">
        <v>12</v>
      </c>
      <c r="E450" s="3">
        <v>22</v>
      </c>
      <c r="F450" s="3">
        <v>800</v>
      </c>
      <c r="G450" s="3">
        <v>8800</v>
      </c>
      <c r="H450" s="3">
        <v>17600</v>
      </c>
      <c r="I450" s="3">
        <f t="shared" si="6"/>
        <v>9600</v>
      </c>
    </row>
    <row r="451" spans="1:9">
      <c r="A451" s="3" t="s">
        <v>89</v>
      </c>
      <c r="B451" s="3" t="s">
        <v>25</v>
      </c>
      <c r="C451" s="3" t="s">
        <v>36</v>
      </c>
      <c r="D451" s="3" t="s">
        <v>27</v>
      </c>
      <c r="E451" s="3">
        <v>45</v>
      </c>
      <c r="F451" s="3">
        <v>2200</v>
      </c>
      <c r="G451" s="3">
        <v>57420</v>
      </c>
      <c r="H451" s="3">
        <v>99000</v>
      </c>
      <c r="I451" s="3">
        <f t="shared" ref="I451:I501" si="7">H451-(G451-F451)</f>
        <v>43780</v>
      </c>
    </row>
    <row r="452" spans="1:9">
      <c r="A452" s="3" t="s">
        <v>114</v>
      </c>
      <c r="B452" s="3" t="s">
        <v>25</v>
      </c>
      <c r="C452" s="3" t="s">
        <v>11</v>
      </c>
      <c r="D452" s="3" t="s">
        <v>23</v>
      </c>
      <c r="E452" s="3">
        <v>20</v>
      </c>
      <c r="F452" s="3">
        <v>25000</v>
      </c>
      <c r="G452" s="3">
        <v>350000</v>
      </c>
      <c r="H452" s="3">
        <v>500000</v>
      </c>
      <c r="I452" s="3">
        <f t="shared" si="7"/>
        <v>175000</v>
      </c>
    </row>
    <row r="453" spans="1:9">
      <c r="A453" s="3" t="s">
        <v>52</v>
      </c>
      <c r="B453" s="3" t="s">
        <v>17</v>
      </c>
      <c r="C453" s="3" t="s">
        <v>36</v>
      </c>
      <c r="D453" s="3" t="s">
        <v>34</v>
      </c>
      <c r="E453" s="3">
        <v>41</v>
      </c>
      <c r="F453" s="3">
        <v>45000</v>
      </c>
      <c r="G453" s="3">
        <v>1291500</v>
      </c>
      <c r="H453" s="3">
        <v>1845000</v>
      </c>
      <c r="I453" s="3">
        <f t="shared" si="7"/>
        <v>598500</v>
      </c>
    </row>
    <row r="454" spans="1:9">
      <c r="A454" s="3" t="s">
        <v>79</v>
      </c>
      <c r="B454" s="3" t="s">
        <v>33</v>
      </c>
      <c r="C454" s="3" t="s">
        <v>22</v>
      </c>
      <c r="D454" s="3" t="s">
        <v>60</v>
      </c>
      <c r="E454" s="3">
        <v>9</v>
      </c>
      <c r="F454" s="3">
        <v>1500</v>
      </c>
      <c r="G454" s="3">
        <v>7425</v>
      </c>
      <c r="H454" s="3">
        <v>13500</v>
      </c>
      <c r="I454" s="3">
        <f t="shared" si="7"/>
        <v>7575</v>
      </c>
    </row>
    <row r="455" spans="1:9">
      <c r="A455" s="3" t="s">
        <v>291</v>
      </c>
      <c r="B455" s="3" t="s">
        <v>14</v>
      </c>
      <c r="C455" s="3" t="s">
        <v>44</v>
      </c>
      <c r="D455" s="3" t="s">
        <v>40</v>
      </c>
      <c r="E455" s="3">
        <v>24</v>
      </c>
      <c r="F455" s="3">
        <v>6000</v>
      </c>
      <c r="G455" s="3">
        <v>89280</v>
      </c>
      <c r="H455" s="3">
        <v>144000</v>
      </c>
      <c r="I455" s="3">
        <f t="shared" si="7"/>
        <v>60720</v>
      </c>
    </row>
    <row r="456" spans="1:9">
      <c r="A456" s="3" t="s">
        <v>179</v>
      </c>
      <c r="B456" s="3" t="s">
        <v>47</v>
      </c>
      <c r="C456" s="3" t="s">
        <v>22</v>
      </c>
      <c r="D456" s="3" t="s">
        <v>60</v>
      </c>
      <c r="E456" s="3">
        <v>44</v>
      </c>
      <c r="F456" s="3">
        <v>1500</v>
      </c>
      <c r="G456" s="3">
        <v>36300</v>
      </c>
      <c r="H456" s="3">
        <v>66000</v>
      </c>
      <c r="I456" s="3">
        <f t="shared" si="7"/>
        <v>31200</v>
      </c>
    </row>
    <row r="457" spans="1:9">
      <c r="A457" s="3" t="s">
        <v>53</v>
      </c>
      <c r="B457" s="3" t="s">
        <v>10</v>
      </c>
      <c r="C457" s="3" t="s">
        <v>44</v>
      </c>
      <c r="D457" s="3" t="s">
        <v>15</v>
      </c>
      <c r="E457" s="3">
        <v>46</v>
      </c>
      <c r="F457" s="3">
        <v>3500</v>
      </c>
      <c r="G457" s="3">
        <v>96600</v>
      </c>
      <c r="H457" s="3">
        <v>161000</v>
      </c>
      <c r="I457" s="3">
        <f t="shared" si="7"/>
        <v>67900</v>
      </c>
    </row>
    <row r="458" spans="1:9">
      <c r="A458" s="3" t="s">
        <v>49</v>
      </c>
      <c r="B458" s="3" t="s">
        <v>10</v>
      </c>
      <c r="C458" s="3" t="s">
        <v>11</v>
      </c>
      <c r="D458" s="3" t="s">
        <v>18</v>
      </c>
      <c r="E458" s="3">
        <v>36</v>
      </c>
      <c r="F458" s="3">
        <v>55000</v>
      </c>
      <c r="G458" s="3">
        <v>1425600</v>
      </c>
      <c r="H458" s="3">
        <v>1980000</v>
      </c>
      <c r="I458" s="3">
        <f t="shared" si="7"/>
        <v>609400</v>
      </c>
    </row>
    <row r="459" spans="1:9">
      <c r="A459" s="3" t="s">
        <v>119</v>
      </c>
      <c r="B459" s="3" t="s">
        <v>20</v>
      </c>
      <c r="C459" s="3" t="s">
        <v>22</v>
      </c>
      <c r="D459" s="3" t="s">
        <v>51</v>
      </c>
      <c r="E459" s="3">
        <v>21</v>
      </c>
      <c r="F459" s="3">
        <v>15000</v>
      </c>
      <c r="G459" s="3">
        <v>204750</v>
      </c>
      <c r="H459" s="3">
        <v>315000</v>
      </c>
      <c r="I459" s="3">
        <f t="shared" si="7"/>
        <v>125250</v>
      </c>
    </row>
    <row r="460" spans="1:9">
      <c r="A460" s="3" t="s">
        <v>292</v>
      </c>
      <c r="B460" s="3" t="s">
        <v>47</v>
      </c>
      <c r="C460" s="3" t="s">
        <v>11</v>
      </c>
      <c r="D460" s="3" t="s">
        <v>60</v>
      </c>
      <c r="E460" s="3">
        <v>46</v>
      </c>
      <c r="F460" s="3">
        <v>1500</v>
      </c>
      <c r="G460" s="3">
        <v>37950</v>
      </c>
      <c r="H460" s="3">
        <v>69000</v>
      </c>
      <c r="I460" s="3">
        <f t="shared" si="7"/>
        <v>32550</v>
      </c>
    </row>
    <row r="461" spans="1:9">
      <c r="A461" s="3" t="s">
        <v>84</v>
      </c>
      <c r="B461" s="3" t="s">
        <v>47</v>
      </c>
      <c r="C461" s="3" t="s">
        <v>11</v>
      </c>
      <c r="D461" s="3" t="s">
        <v>15</v>
      </c>
      <c r="E461" s="3">
        <v>29</v>
      </c>
      <c r="F461" s="3">
        <v>3500</v>
      </c>
      <c r="G461" s="3">
        <v>60900</v>
      </c>
      <c r="H461" s="3">
        <v>101500</v>
      </c>
      <c r="I461" s="3">
        <f t="shared" si="7"/>
        <v>44100</v>
      </c>
    </row>
    <row r="462" spans="1:9">
      <c r="A462" s="3" t="s">
        <v>189</v>
      </c>
      <c r="B462" s="3" t="s">
        <v>47</v>
      </c>
      <c r="C462" s="3" t="s">
        <v>22</v>
      </c>
      <c r="D462" s="3" t="s">
        <v>15</v>
      </c>
      <c r="E462" s="3">
        <v>27</v>
      </c>
      <c r="F462" s="3">
        <v>3500</v>
      </c>
      <c r="G462" s="3">
        <v>56700</v>
      </c>
      <c r="H462" s="3">
        <v>94500</v>
      </c>
      <c r="I462" s="3">
        <f t="shared" si="7"/>
        <v>41300</v>
      </c>
    </row>
    <row r="463" spans="1:9">
      <c r="A463" s="3" t="s">
        <v>293</v>
      </c>
      <c r="B463" s="3" t="s">
        <v>25</v>
      </c>
      <c r="C463" s="3" t="s">
        <v>44</v>
      </c>
      <c r="D463" s="3" t="s">
        <v>12</v>
      </c>
      <c r="E463" s="3">
        <v>47</v>
      </c>
      <c r="F463" s="3">
        <v>800</v>
      </c>
      <c r="G463" s="3">
        <v>18800</v>
      </c>
      <c r="H463" s="3">
        <v>37600</v>
      </c>
      <c r="I463" s="3">
        <f t="shared" si="7"/>
        <v>19600</v>
      </c>
    </row>
    <row r="464" spans="1:9">
      <c r="A464" s="3" t="s">
        <v>276</v>
      </c>
      <c r="B464" s="3" t="s">
        <v>17</v>
      </c>
      <c r="C464" s="3" t="s">
        <v>36</v>
      </c>
      <c r="D464" s="3" t="s">
        <v>18</v>
      </c>
      <c r="E464" s="3">
        <v>48</v>
      </c>
      <c r="F464" s="3">
        <v>55000</v>
      </c>
      <c r="G464" s="3">
        <v>1900800</v>
      </c>
      <c r="H464" s="3">
        <v>2640000</v>
      </c>
      <c r="I464" s="3">
        <f t="shared" si="7"/>
        <v>794200</v>
      </c>
    </row>
    <row r="465" spans="1:9">
      <c r="A465" s="3" t="s">
        <v>19</v>
      </c>
      <c r="B465" s="3" t="s">
        <v>10</v>
      </c>
      <c r="C465" s="3" t="s">
        <v>11</v>
      </c>
      <c r="D465" s="3" t="s">
        <v>26</v>
      </c>
      <c r="E465" s="3">
        <v>23</v>
      </c>
      <c r="F465" s="3">
        <v>12000</v>
      </c>
      <c r="G465" s="3">
        <v>187680</v>
      </c>
      <c r="H465" s="3">
        <v>276000</v>
      </c>
      <c r="I465" s="3">
        <f t="shared" si="7"/>
        <v>100320</v>
      </c>
    </row>
    <row r="466" spans="1:9">
      <c r="A466" s="3" t="s">
        <v>196</v>
      </c>
      <c r="B466" s="3" t="s">
        <v>10</v>
      </c>
      <c r="C466" s="3" t="s">
        <v>11</v>
      </c>
      <c r="D466" s="3" t="s">
        <v>34</v>
      </c>
      <c r="E466" s="3">
        <v>31</v>
      </c>
      <c r="F466" s="3">
        <v>45000</v>
      </c>
      <c r="G466" s="3">
        <v>976500</v>
      </c>
      <c r="H466" s="3">
        <v>1395000</v>
      </c>
      <c r="I466" s="3">
        <f t="shared" si="7"/>
        <v>463500</v>
      </c>
    </row>
    <row r="467" spans="1:9">
      <c r="A467" s="3" t="s">
        <v>43</v>
      </c>
      <c r="B467" s="3" t="s">
        <v>30</v>
      </c>
      <c r="C467" s="3" t="s">
        <v>44</v>
      </c>
      <c r="D467" s="3" t="s">
        <v>51</v>
      </c>
      <c r="E467" s="3">
        <v>50</v>
      </c>
      <c r="F467" s="3">
        <v>15000</v>
      </c>
      <c r="G467" s="3">
        <v>487500</v>
      </c>
      <c r="H467" s="3">
        <v>750000</v>
      </c>
      <c r="I467" s="3">
        <f t="shared" si="7"/>
        <v>277500</v>
      </c>
    </row>
    <row r="468" spans="1:9">
      <c r="A468" s="3" t="s">
        <v>294</v>
      </c>
      <c r="B468" s="3" t="s">
        <v>17</v>
      </c>
      <c r="C468" s="3" t="s">
        <v>36</v>
      </c>
      <c r="D468" s="3" t="s">
        <v>26</v>
      </c>
      <c r="E468" s="3">
        <v>29</v>
      </c>
      <c r="F468" s="3">
        <v>12000</v>
      </c>
      <c r="G468" s="3">
        <v>236640</v>
      </c>
      <c r="H468" s="3">
        <v>348000</v>
      </c>
      <c r="I468" s="3">
        <f t="shared" si="7"/>
        <v>123360</v>
      </c>
    </row>
    <row r="469" spans="1:9">
      <c r="A469" s="3" t="s">
        <v>295</v>
      </c>
      <c r="B469" s="3" t="s">
        <v>17</v>
      </c>
      <c r="C469" s="3" t="s">
        <v>11</v>
      </c>
      <c r="D469" s="3" t="s">
        <v>15</v>
      </c>
      <c r="E469" s="3">
        <v>9</v>
      </c>
      <c r="F469" s="3">
        <v>3500</v>
      </c>
      <c r="G469" s="3">
        <v>18900</v>
      </c>
      <c r="H469" s="3">
        <v>31500</v>
      </c>
      <c r="I469" s="3">
        <f t="shared" si="7"/>
        <v>16100</v>
      </c>
    </row>
    <row r="470" spans="1:9">
      <c r="A470" s="3" t="s">
        <v>296</v>
      </c>
      <c r="B470" s="3" t="s">
        <v>33</v>
      </c>
      <c r="C470" s="3" t="s">
        <v>11</v>
      </c>
      <c r="D470" s="3" t="s">
        <v>51</v>
      </c>
      <c r="E470" s="3">
        <v>35</v>
      </c>
      <c r="F470" s="3">
        <v>15000</v>
      </c>
      <c r="G470" s="3">
        <v>341250</v>
      </c>
      <c r="H470" s="3">
        <v>525000</v>
      </c>
      <c r="I470" s="3">
        <f t="shared" si="7"/>
        <v>198750</v>
      </c>
    </row>
    <row r="471" spans="1:9">
      <c r="A471" s="3" t="s">
        <v>297</v>
      </c>
      <c r="B471" s="3" t="s">
        <v>14</v>
      </c>
      <c r="C471" s="3" t="s">
        <v>22</v>
      </c>
      <c r="D471" s="3" t="s">
        <v>18</v>
      </c>
      <c r="E471" s="3">
        <v>49</v>
      </c>
      <c r="F471" s="3">
        <v>55000</v>
      </c>
      <c r="G471" s="3">
        <v>1940400</v>
      </c>
      <c r="H471" s="3">
        <v>2695000</v>
      </c>
      <c r="I471" s="3">
        <f t="shared" si="7"/>
        <v>809600</v>
      </c>
    </row>
    <row r="472" spans="1:9">
      <c r="A472" s="3" t="s">
        <v>276</v>
      </c>
      <c r="B472" s="3" t="s">
        <v>30</v>
      </c>
      <c r="C472" s="3" t="s">
        <v>44</v>
      </c>
      <c r="D472" s="3" t="s">
        <v>15</v>
      </c>
      <c r="E472" s="3">
        <v>28</v>
      </c>
      <c r="F472" s="3">
        <v>3500</v>
      </c>
      <c r="G472" s="3">
        <v>58800</v>
      </c>
      <c r="H472" s="3">
        <v>98000</v>
      </c>
      <c r="I472" s="3">
        <f t="shared" si="7"/>
        <v>42700</v>
      </c>
    </row>
    <row r="473" spans="1:9">
      <c r="A473" s="3" t="s">
        <v>62</v>
      </c>
      <c r="B473" s="3" t="s">
        <v>17</v>
      </c>
      <c r="C473" s="3" t="s">
        <v>22</v>
      </c>
      <c r="D473" s="3" t="s">
        <v>60</v>
      </c>
      <c r="E473" s="3">
        <v>30</v>
      </c>
      <c r="F473" s="3">
        <v>1500</v>
      </c>
      <c r="G473" s="3">
        <v>24750</v>
      </c>
      <c r="H473" s="3">
        <v>45000</v>
      </c>
      <c r="I473" s="3">
        <f t="shared" si="7"/>
        <v>21750</v>
      </c>
    </row>
    <row r="474" spans="1:9">
      <c r="A474" s="3" t="s">
        <v>298</v>
      </c>
      <c r="B474" s="3" t="s">
        <v>14</v>
      </c>
      <c r="C474" s="3" t="s">
        <v>36</v>
      </c>
      <c r="D474" s="3" t="s">
        <v>60</v>
      </c>
      <c r="E474" s="3">
        <v>47</v>
      </c>
      <c r="F474" s="3">
        <v>1500</v>
      </c>
      <c r="G474" s="3">
        <v>38775</v>
      </c>
      <c r="H474" s="3">
        <v>70500</v>
      </c>
      <c r="I474" s="3">
        <f t="shared" si="7"/>
        <v>33225</v>
      </c>
    </row>
    <row r="475" spans="1:9">
      <c r="A475" s="3" t="s">
        <v>59</v>
      </c>
      <c r="B475" s="3" t="s">
        <v>25</v>
      </c>
      <c r="C475" s="3" t="s">
        <v>44</v>
      </c>
      <c r="D475" s="3" t="s">
        <v>40</v>
      </c>
      <c r="E475" s="3">
        <v>50</v>
      </c>
      <c r="F475" s="3">
        <v>6000</v>
      </c>
      <c r="G475" s="3">
        <v>186000</v>
      </c>
      <c r="H475" s="3">
        <v>300000</v>
      </c>
      <c r="I475" s="3">
        <f t="shared" si="7"/>
        <v>120000</v>
      </c>
    </row>
    <row r="476" spans="1:9">
      <c r="A476" s="3" t="s">
        <v>253</v>
      </c>
      <c r="B476" s="3" t="s">
        <v>20</v>
      </c>
      <c r="C476" s="3" t="s">
        <v>22</v>
      </c>
      <c r="D476" s="3" t="s">
        <v>34</v>
      </c>
      <c r="E476" s="3">
        <v>7</v>
      </c>
      <c r="F476" s="3">
        <v>45000</v>
      </c>
      <c r="G476" s="3">
        <v>220500</v>
      </c>
      <c r="H476" s="3">
        <v>315000</v>
      </c>
      <c r="I476" s="3">
        <f t="shared" si="7"/>
        <v>139500</v>
      </c>
    </row>
    <row r="477" spans="1:9">
      <c r="A477" s="3" t="s">
        <v>299</v>
      </c>
      <c r="B477" s="3" t="s">
        <v>25</v>
      </c>
      <c r="C477" s="3" t="s">
        <v>44</v>
      </c>
      <c r="D477" s="3" t="s">
        <v>40</v>
      </c>
      <c r="E477" s="3">
        <v>44</v>
      </c>
      <c r="F477" s="3">
        <v>6000</v>
      </c>
      <c r="G477" s="3">
        <v>163680</v>
      </c>
      <c r="H477" s="3">
        <v>264000</v>
      </c>
      <c r="I477" s="3">
        <f t="shared" si="7"/>
        <v>106320</v>
      </c>
    </row>
    <row r="478" spans="1:9">
      <c r="A478" s="3" t="s">
        <v>286</v>
      </c>
      <c r="B478" s="3" t="s">
        <v>25</v>
      </c>
      <c r="C478" s="3" t="s">
        <v>22</v>
      </c>
      <c r="D478" s="3" t="s">
        <v>18</v>
      </c>
      <c r="E478" s="3">
        <v>26</v>
      </c>
      <c r="F478" s="3">
        <v>55000</v>
      </c>
      <c r="G478" s="3">
        <v>1029600</v>
      </c>
      <c r="H478" s="3">
        <v>1430000</v>
      </c>
      <c r="I478" s="3">
        <f t="shared" si="7"/>
        <v>455400</v>
      </c>
    </row>
    <row r="479" spans="1:9">
      <c r="A479" s="3" t="s">
        <v>300</v>
      </c>
      <c r="B479" s="3" t="s">
        <v>20</v>
      </c>
      <c r="C479" s="3" t="s">
        <v>22</v>
      </c>
      <c r="D479" s="3" t="s">
        <v>18</v>
      </c>
      <c r="E479" s="3">
        <v>9</v>
      </c>
      <c r="F479" s="3">
        <v>55000</v>
      </c>
      <c r="G479" s="3">
        <v>356400</v>
      </c>
      <c r="H479" s="3">
        <v>495000</v>
      </c>
      <c r="I479" s="3">
        <f t="shared" si="7"/>
        <v>193600</v>
      </c>
    </row>
    <row r="480" spans="1:9">
      <c r="A480" s="3" t="s">
        <v>301</v>
      </c>
      <c r="B480" s="3" t="s">
        <v>30</v>
      </c>
      <c r="C480" s="3" t="s">
        <v>22</v>
      </c>
      <c r="D480" s="3" t="s">
        <v>40</v>
      </c>
      <c r="E480" s="3">
        <v>21</v>
      </c>
      <c r="F480" s="3">
        <v>6000</v>
      </c>
      <c r="G480" s="3">
        <v>78120</v>
      </c>
      <c r="H480" s="3">
        <v>126000</v>
      </c>
      <c r="I480" s="3">
        <f t="shared" si="7"/>
        <v>53880</v>
      </c>
    </row>
    <row r="481" spans="1:9">
      <c r="A481" s="3" t="s">
        <v>156</v>
      </c>
      <c r="B481" s="3" t="s">
        <v>33</v>
      </c>
      <c r="C481" s="3" t="s">
        <v>22</v>
      </c>
      <c r="D481" s="3" t="s">
        <v>12</v>
      </c>
      <c r="E481" s="3">
        <v>10</v>
      </c>
      <c r="F481" s="3">
        <v>800</v>
      </c>
      <c r="G481" s="3">
        <v>4000</v>
      </c>
      <c r="H481" s="3">
        <v>8000</v>
      </c>
      <c r="I481" s="3">
        <f t="shared" si="7"/>
        <v>4800</v>
      </c>
    </row>
    <row r="482" spans="1:9">
      <c r="A482" s="3" t="s">
        <v>35</v>
      </c>
      <c r="B482" s="3" t="s">
        <v>20</v>
      </c>
      <c r="C482" s="3" t="s">
        <v>44</v>
      </c>
      <c r="D482" s="3" t="s">
        <v>12</v>
      </c>
      <c r="E482" s="3">
        <v>18</v>
      </c>
      <c r="F482" s="3">
        <v>800</v>
      </c>
      <c r="G482" s="3">
        <v>7200</v>
      </c>
      <c r="H482" s="3">
        <v>14400</v>
      </c>
      <c r="I482" s="3">
        <f t="shared" si="7"/>
        <v>8000</v>
      </c>
    </row>
    <row r="483" spans="1:9">
      <c r="A483" s="3" t="s">
        <v>302</v>
      </c>
      <c r="B483" s="3" t="s">
        <v>14</v>
      </c>
      <c r="C483" s="3" t="s">
        <v>44</v>
      </c>
      <c r="D483" s="3" t="s">
        <v>15</v>
      </c>
      <c r="E483" s="3">
        <v>32</v>
      </c>
      <c r="F483" s="3">
        <v>3500</v>
      </c>
      <c r="G483" s="3">
        <v>67200</v>
      </c>
      <c r="H483" s="3">
        <v>112000</v>
      </c>
      <c r="I483" s="3">
        <f t="shared" si="7"/>
        <v>48300</v>
      </c>
    </row>
    <row r="484" spans="1:9">
      <c r="A484" s="3" t="s">
        <v>259</v>
      </c>
      <c r="B484" s="3" t="s">
        <v>33</v>
      </c>
      <c r="C484" s="3" t="s">
        <v>44</v>
      </c>
      <c r="D484" s="3" t="s">
        <v>15</v>
      </c>
      <c r="E484" s="3">
        <v>21</v>
      </c>
      <c r="F484" s="3">
        <v>3500</v>
      </c>
      <c r="G484" s="3">
        <v>44100</v>
      </c>
      <c r="H484" s="3">
        <v>73500</v>
      </c>
      <c r="I484" s="3">
        <f t="shared" si="7"/>
        <v>32900</v>
      </c>
    </row>
    <row r="485" spans="1:9">
      <c r="A485" s="3" t="s">
        <v>111</v>
      </c>
      <c r="B485" s="3" t="s">
        <v>17</v>
      </c>
      <c r="C485" s="3" t="s">
        <v>44</v>
      </c>
      <c r="D485" s="3" t="s">
        <v>51</v>
      </c>
      <c r="E485" s="3">
        <v>20</v>
      </c>
      <c r="F485" s="3">
        <v>15000</v>
      </c>
      <c r="G485" s="3">
        <v>195000</v>
      </c>
      <c r="H485" s="3">
        <v>300000</v>
      </c>
      <c r="I485" s="3">
        <f t="shared" si="7"/>
        <v>120000</v>
      </c>
    </row>
    <row r="486" spans="1:9">
      <c r="A486" s="3" t="s">
        <v>223</v>
      </c>
      <c r="B486" s="3" t="s">
        <v>14</v>
      </c>
      <c r="C486" s="3" t="s">
        <v>44</v>
      </c>
      <c r="D486" s="3" t="s">
        <v>60</v>
      </c>
      <c r="E486" s="3">
        <v>15</v>
      </c>
      <c r="F486" s="3">
        <v>1500</v>
      </c>
      <c r="G486" s="3">
        <v>12375</v>
      </c>
      <c r="H486" s="3">
        <v>22500</v>
      </c>
      <c r="I486" s="3">
        <f t="shared" si="7"/>
        <v>11625</v>
      </c>
    </row>
    <row r="487" spans="1:9">
      <c r="A487" s="3" t="s">
        <v>110</v>
      </c>
      <c r="B487" s="3" t="s">
        <v>14</v>
      </c>
      <c r="C487" s="3" t="s">
        <v>44</v>
      </c>
      <c r="D487" s="3" t="s">
        <v>18</v>
      </c>
      <c r="E487" s="3">
        <v>36</v>
      </c>
      <c r="F487" s="3">
        <v>55000</v>
      </c>
      <c r="G487" s="3">
        <v>1425600</v>
      </c>
      <c r="H487" s="3">
        <v>1980000</v>
      </c>
      <c r="I487" s="3">
        <f t="shared" si="7"/>
        <v>609400</v>
      </c>
    </row>
    <row r="488" spans="1:9">
      <c r="A488" s="3" t="s">
        <v>216</v>
      </c>
      <c r="B488" s="3" t="s">
        <v>17</v>
      </c>
      <c r="C488" s="3" t="s">
        <v>22</v>
      </c>
      <c r="D488" s="3" t="s">
        <v>26</v>
      </c>
      <c r="E488" s="3">
        <v>16</v>
      </c>
      <c r="F488" s="3">
        <v>12000</v>
      </c>
      <c r="G488" s="3">
        <v>130560</v>
      </c>
      <c r="H488" s="3">
        <v>192000</v>
      </c>
      <c r="I488" s="3">
        <f t="shared" si="7"/>
        <v>73440</v>
      </c>
    </row>
    <row r="489" spans="1:9">
      <c r="A489" s="3" t="s">
        <v>107</v>
      </c>
      <c r="B489" s="3" t="s">
        <v>20</v>
      </c>
      <c r="C489" s="3" t="s">
        <v>36</v>
      </c>
      <c r="D489" s="3" t="s">
        <v>34</v>
      </c>
      <c r="E489" s="3">
        <v>29</v>
      </c>
      <c r="F489" s="3">
        <v>45000</v>
      </c>
      <c r="G489" s="3">
        <v>913500</v>
      </c>
      <c r="H489" s="3">
        <v>1305000</v>
      </c>
      <c r="I489" s="3">
        <f t="shared" si="7"/>
        <v>436500</v>
      </c>
    </row>
    <row r="490" spans="1:9">
      <c r="A490" s="3" t="s">
        <v>208</v>
      </c>
      <c r="B490" s="3" t="s">
        <v>10</v>
      </c>
      <c r="C490" s="3" t="s">
        <v>22</v>
      </c>
      <c r="D490" s="3" t="s">
        <v>18</v>
      </c>
      <c r="E490" s="3">
        <v>18</v>
      </c>
      <c r="F490" s="3">
        <v>55000</v>
      </c>
      <c r="G490" s="3">
        <v>712800</v>
      </c>
      <c r="H490" s="3">
        <v>990000</v>
      </c>
      <c r="I490" s="3">
        <f t="shared" si="7"/>
        <v>332200</v>
      </c>
    </row>
    <row r="491" spans="1:9">
      <c r="A491" s="3" t="s">
        <v>295</v>
      </c>
      <c r="B491" s="3" t="s">
        <v>25</v>
      </c>
      <c r="C491" s="3" t="s">
        <v>11</v>
      </c>
      <c r="D491" s="3" t="s">
        <v>60</v>
      </c>
      <c r="E491" s="3">
        <v>49</v>
      </c>
      <c r="F491" s="3">
        <v>1500</v>
      </c>
      <c r="G491" s="3">
        <v>40425</v>
      </c>
      <c r="H491" s="3">
        <v>73500</v>
      </c>
      <c r="I491" s="3">
        <f t="shared" si="7"/>
        <v>34575</v>
      </c>
    </row>
    <row r="492" spans="1:9">
      <c r="A492" s="3" t="s">
        <v>194</v>
      </c>
      <c r="B492" s="3" t="s">
        <v>20</v>
      </c>
      <c r="C492" s="3" t="s">
        <v>44</v>
      </c>
      <c r="D492" s="3" t="s">
        <v>60</v>
      </c>
      <c r="E492" s="3">
        <v>22</v>
      </c>
      <c r="F492" s="3">
        <v>1500</v>
      </c>
      <c r="G492" s="3">
        <v>18150</v>
      </c>
      <c r="H492" s="3">
        <v>33000</v>
      </c>
      <c r="I492" s="3">
        <f t="shared" si="7"/>
        <v>16350</v>
      </c>
    </row>
    <row r="493" spans="1:9">
      <c r="A493" s="3" t="s">
        <v>157</v>
      </c>
      <c r="B493" s="3" t="s">
        <v>25</v>
      </c>
      <c r="C493" s="3" t="s">
        <v>22</v>
      </c>
      <c r="D493" s="3" t="s">
        <v>60</v>
      </c>
      <c r="E493" s="3">
        <v>48</v>
      </c>
      <c r="F493" s="3">
        <v>1500</v>
      </c>
      <c r="G493" s="3">
        <v>39600</v>
      </c>
      <c r="H493" s="3">
        <v>72000</v>
      </c>
      <c r="I493" s="3">
        <f t="shared" si="7"/>
        <v>33900</v>
      </c>
    </row>
    <row r="494" spans="1:9">
      <c r="A494" s="3" t="s">
        <v>303</v>
      </c>
      <c r="B494" s="3" t="s">
        <v>47</v>
      </c>
      <c r="C494" s="3" t="s">
        <v>22</v>
      </c>
      <c r="D494" s="3" t="s">
        <v>40</v>
      </c>
      <c r="E494" s="3">
        <v>46</v>
      </c>
      <c r="F494" s="3">
        <v>6000</v>
      </c>
      <c r="G494" s="3">
        <v>171120</v>
      </c>
      <c r="H494" s="3">
        <v>276000</v>
      </c>
      <c r="I494" s="3">
        <f t="shared" si="7"/>
        <v>110880</v>
      </c>
    </row>
    <row r="495" spans="1:9">
      <c r="A495" s="3" t="s">
        <v>284</v>
      </c>
      <c r="B495" s="3" t="s">
        <v>17</v>
      </c>
      <c r="C495" s="3" t="s">
        <v>22</v>
      </c>
      <c r="D495" s="3" t="s">
        <v>15</v>
      </c>
      <c r="E495" s="3">
        <v>21</v>
      </c>
      <c r="F495" s="3">
        <v>3500</v>
      </c>
      <c r="G495" s="3">
        <v>44100</v>
      </c>
      <c r="H495" s="3">
        <v>73500</v>
      </c>
      <c r="I495" s="3">
        <f t="shared" si="7"/>
        <v>32900</v>
      </c>
    </row>
    <row r="496" spans="1:9">
      <c r="A496" s="3" t="s">
        <v>244</v>
      </c>
      <c r="B496" s="3" t="s">
        <v>17</v>
      </c>
      <c r="C496" s="3" t="s">
        <v>44</v>
      </c>
      <c r="D496" s="3" t="s">
        <v>15</v>
      </c>
      <c r="E496" s="3">
        <v>42</v>
      </c>
      <c r="F496" s="3">
        <v>3500</v>
      </c>
      <c r="G496" s="3">
        <v>88200</v>
      </c>
      <c r="H496" s="3">
        <v>147000</v>
      </c>
      <c r="I496" s="3">
        <f t="shared" si="7"/>
        <v>62300</v>
      </c>
    </row>
    <row r="497" spans="1:9">
      <c r="A497" s="3" t="s">
        <v>304</v>
      </c>
      <c r="B497" s="3" t="s">
        <v>30</v>
      </c>
      <c r="C497" s="3" t="s">
        <v>36</v>
      </c>
      <c r="D497" s="3" t="s">
        <v>27</v>
      </c>
      <c r="E497" s="3">
        <v>33</v>
      </c>
      <c r="F497" s="3">
        <v>2200</v>
      </c>
      <c r="G497" s="3">
        <v>42108</v>
      </c>
      <c r="H497" s="3">
        <v>72600</v>
      </c>
      <c r="I497" s="3">
        <f t="shared" si="7"/>
        <v>32692</v>
      </c>
    </row>
    <row r="498" spans="1:9">
      <c r="A498" s="3" t="s">
        <v>305</v>
      </c>
      <c r="B498" s="3" t="s">
        <v>47</v>
      </c>
      <c r="C498" s="3" t="s">
        <v>11</v>
      </c>
      <c r="D498" s="3" t="s">
        <v>23</v>
      </c>
      <c r="E498" s="3">
        <v>49</v>
      </c>
      <c r="F498" s="3">
        <v>25000</v>
      </c>
      <c r="G498" s="3">
        <v>857500</v>
      </c>
      <c r="H498" s="3">
        <v>1225000</v>
      </c>
      <c r="I498" s="3">
        <f t="shared" si="7"/>
        <v>392500</v>
      </c>
    </row>
    <row r="499" spans="1:9">
      <c r="A499" s="3" t="s">
        <v>123</v>
      </c>
      <c r="B499" s="3" t="s">
        <v>20</v>
      </c>
      <c r="C499" s="3" t="s">
        <v>36</v>
      </c>
      <c r="D499" s="3" t="s">
        <v>27</v>
      </c>
      <c r="E499" s="3">
        <v>27</v>
      </c>
      <c r="F499" s="3">
        <v>2200</v>
      </c>
      <c r="G499" s="3">
        <v>34452</v>
      </c>
      <c r="H499" s="3">
        <v>59400</v>
      </c>
      <c r="I499" s="3">
        <f t="shared" si="7"/>
        <v>27148</v>
      </c>
    </row>
    <row r="500" spans="1:9">
      <c r="A500" s="3" t="s">
        <v>206</v>
      </c>
      <c r="B500" s="3" t="s">
        <v>20</v>
      </c>
      <c r="C500" s="3" t="s">
        <v>22</v>
      </c>
      <c r="D500" s="3" t="s">
        <v>18</v>
      </c>
      <c r="E500" s="3">
        <v>17</v>
      </c>
      <c r="F500" s="3">
        <v>55000</v>
      </c>
      <c r="G500" s="3">
        <v>673200</v>
      </c>
      <c r="H500" s="3">
        <v>935000</v>
      </c>
      <c r="I500" s="3">
        <f t="shared" si="7"/>
        <v>316800</v>
      </c>
    </row>
    <row r="501" spans="1:9">
      <c r="A501" s="3" t="s">
        <v>154</v>
      </c>
      <c r="B501" s="3" t="s">
        <v>17</v>
      </c>
      <c r="C501" s="3" t="s">
        <v>36</v>
      </c>
      <c r="D501" s="3" t="s">
        <v>51</v>
      </c>
      <c r="E501" s="3">
        <v>13</v>
      </c>
      <c r="F501" s="3">
        <v>15000</v>
      </c>
      <c r="G501" s="3">
        <v>126750</v>
      </c>
      <c r="H501" s="3">
        <v>195000</v>
      </c>
      <c r="I501" s="3">
        <f t="shared" si="7"/>
        <v>83250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chart</vt:lpstr>
      <vt:lpstr>datasets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Monisha Maruthaiyan</dc:creator>
  <cp:lastModifiedBy>Monisha Maruthaiyan</cp:lastModifiedBy>
  <dcterms:created xsi:type="dcterms:W3CDTF">2026-09-30T06:23:08Z</dcterms:created>
  <dcterms:modified xsi:type="dcterms:W3CDTF">2026-09-30T07:08:00Z</dcterms:modified>
</cp:coreProperties>
</file>
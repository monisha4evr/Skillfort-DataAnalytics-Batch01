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19200" windowHeight="6800" activeTab="3"/>
  </bookViews>
  <sheets>
    <sheet name="rawdata" sheetId="1" r:id="rId1"/>
    <sheet name="lookup" sheetId="3" r:id="rId2"/>
    <sheet name="index and match" sheetId="7" r:id="rId3"/>
    <sheet name="Sheet1" sheetId="11" r:id="rId4"/>
    <sheet name="Pivot" sheetId="8" r:id="rId5"/>
    <sheet name="data validation" sheetId="12" r:id="rId6"/>
    <sheet name="filter" sheetId="2" r:id="rId7"/>
    <sheet name="link" sheetId="4" r:id="rId8"/>
    <sheet name="text" sheetId="5" r:id="rId9"/>
    <sheet name="datetime" sheetId="6" r:id="rId10"/>
  </sheets>
  <definedNames>
    <definedName name="_xlnm._FilterDatabase" localSheetId="0" hidden="1">rawdata!$A$1:$G$101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<sst xmlns="http://schemas.openxmlformats.org/spreadsheetml/2006/main" count="1068" uniqueCount="568">
  <si>
    <t>ID</t>
  </si>
  <si>
    <t>NAME</t>
  </si>
  <si>
    <t>AGE</t>
  </si>
  <si>
    <t>JOINED</t>
  </si>
  <si>
    <t>COMPLETED</t>
  </si>
  <si>
    <t>AREA</t>
  </si>
  <si>
    <t>CITY</t>
  </si>
  <si>
    <t>22S001</t>
  </si>
  <si>
    <t>Rian</t>
  </si>
  <si>
    <t>Beach Road</t>
  </si>
  <si>
    <t>Chidambaram</t>
  </si>
  <si>
    <t>22S002</t>
  </si>
  <si>
    <t>Shreshthn</t>
  </si>
  <si>
    <t>Keeranathan</t>
  </si>
  <si>
    <t>22S003</t>
  </si>
  <si>
    <t>Aymann</t>
  </si>
  <si>
    <t>Ratchagar Nager</t>
  </si>
  <si>
    <t>Pondicherry</t>
  </si>
  <si>
    <t>22S004</t>
  </si>
  <si>
    <t>Zohaann</t>
  </si>
  <si>
    <t>Panruti</t>
  </si>
  <si>
    <t>22S005</t>
  </si>
  <si>
    <t>Lakshann</t>
  </si>
  <si>
    <t>Vanniyar Palayam</t>
  </si>
  <si>
    <t>Cuddalore</t>
  </si>
  <si>
    <t>22S006</t>
  </si>
  <si>
    <t>Pranitn</t>
  </si>
  <si>
    <t>Neyveli</t>
  </si>
  <si>
    <t>22S007</t>
  </si>
  <si>
    <t>Madhavn</t>
  </si>
  <si>
    <t>Varakalpattu</t>
  </si>
  <si>
    <t>22S008</t>
  </si>
  <si>
    <t>Srihann</t>
  </si>
  <si>
    <t>Devanampattinam</t>
  </si>
  <si>
    <t>22S009</t>
  </si>
  <si>
    <t>Aditya</t>
  </si>
  <si>
    <t>Manjakuppam</t>
  </si>
  <si>
    <t>22S010</t>
  </si>
  <si>
    <t>Revaann</t>
  </si>
  <si>
    <t>Pattampakkam</t>
  </si>
  <si>
    <t>22S011</t>
  </si>
  <si>
    <t>Chrisn</t>
  </si>
  <si>
    <t>22S012</t>
  </si>
  <si>
    <t>Vedanshn</t>
  </si>
  <si>
    <t>Sowdheshwari Nagar</t>
  </si>
  <si>
    <t>22S013</t>
  </si>
  <si>
    <t>Kanhan</t>
  </si>
  <si>
    <t>RK Streen</t>
  </si>
  <si>
    <t>22S014</t>
  </si>
  <si>
    <t>Rudra</t>
  </si>
  <si>
    <t>Saibaba Colony</t>
  </si>
  <si>
    <t>22S015</t>
  </si>
  <si>
    <t>Aarav</t>
  </si>
  <si>
    <t>22S016</t>
  </si>
  <si>
    <t>Shlok</t>
  </si>
  <si>
    <t>Vellapakkam</t>
  </si>
  <si>
    <t>22S017</t>
  </si>
  <si>
    <t>Ishaan</t>
  </si>
  <si>
    <t>JJ Nagar</t>
  </si>
  <si>
    <t>22S018</t>
  </si>
  <si>
    <t>Arjun</t>
  </si>
  <si>
    <t>22S019</t>
  </si>
  <si>
    <t>Raghav</t>
  </si>
  <si>
    <t>Kalaigner Karunanithi Street</t>
  </si>
  <si>
    <t>22S020</t>
  </si>
  <si>
    <t>Jayn</t>
  </si>
  <si>
    <t>22S021</t>
  </si>
  <si>
    <t>Kiaan</t>
  </si>
  <si>
    <t>MK Street</t>
  </si>
  <si>
    <t>22S022</t>
  </si>
  <si>
    <t>Reyansh</t>
  </si>
  <si>
    <t>Vella Gate</t>
  </si>
  <si>
    <t>22S023</t>
  </si>
  <si>
    <t>Rishaan</t>
  </si>
  <si>
    <t>22S024</t>
  </si>
  <si>
    <t>Ritvikn</t>
  </si>
  <si>
    <t>22S025</t>
  </si>
  <si>
    <t>Aviraj</t>
  </si>
  <si>
    <t>22S026</t>
  </si>
  <si>
    <t>Ethan</t>
  </si>
  <si>
    <t>22S027</t>
  </si>
  <si>
    <t>Mokshn</t>
  </si>
  <si>
    <t>O.T</t>
  </si>
  <si>
    <t>22S028</t>
  </si>
  <si>
    <t>Zayann</t>
  </si>
  <si>
    <t>Purushothaman Street</t>
  </si>
  <si>
    <t>22S029</t>
  </si>
  <si>
    <t>Tanishn</t>
  </si>
  <si>
    <t>22S030</t>
  </si>
  <si>
    <t>Sai</t>
  </si>
  <si>
    <t>22S031</t>
  </si>
  <si>
    <t>Advik</t>
  </si>
  <si>
    <t>Semmandalam</t>
  </si>
  <si>
    <t>22S032</t>
  </si>
  <si>
    <t>Kavin</t>
  </si>
  <si>
    <t>Chinna Pattampakkam</t>
  </si>
  <si>
    <t>22S033</t>
  </si>
  <si>
    <t>Anayn</t>
  </si>
  <si>
    <t>Veli Semmandalam</t>
  </si>
  <si>
    <t>22S034</t>
  </si>
  <si>
    <t>Ivaan</t>
  </si>
  <si>
    <t>22S035</t>
  </si>
  <si>
    <t>Agastya</t>
  </si>
  <si>
    <t>22S036</t>
  </si>
  <si>
    <t>Dhakshann</t>
  </si>
  <si>
    <t>MGR Nagar</t>
  </si>
  <si>
    <t>22S037</t>
  </si>
  <si>
    <t>Viyaan</t>
  </si>
  <si>
    <t>22S038</t>
  </si>
  <si>
    <t>Parthn</t>
  </si>
  <si>
    <t>22S039</t>
  </si>
  <si>
    <t>Aayansh</t>
  </si>
  <si>
    <t>22S040</t>
  </si>
  <si>
    <t>Pranav</t>
  </si>
  <si>
    <t>22S041</t>
  </si>
  <si>
    <t>Tejasn</t>
  </si>
  <si>
    <t>22S042</t>
  </si>
  <si>
    <t>Shravann</t>
  </si>
  <si>
    <t>22S043</t>
  </si>
  <si>
    <t>Benjaminn</t>
  </si>
  <si>
    <t>22S044</t>
  </si>
  <si>
    <t>Shivansh</t>
  </si>
  <si>
    <t>Nellikuppam</t>
  </si>
  <si>
    <t>22S045</t>
  </si>
  <si>
    <t>Zaynen</t>
  </si>
  <si>
    <t>22S046</t>
  </si>
  <si>
    <t>Omn</t>
  </si>
  <si>
    <t>22S047</t>
  </si>
  <si>
    <t>Saatvikn</t>
  </si>
  <si>
    <t>22S048</t>
  </si>
  <si>
    <t>Josephn</t>
  </si>
  <si>
    <t>22S049</t>
  </si>
  <si>
    <t>Jayden</t>
  </si>
  <si>
    <t>22S050</t>
  </si>
  <si>
    <t xml:space="preserve"> Adin</t>
  </si>
  <si>
    <t>22S051</t>
  </si>
  <si>
    <t>Vikramadityan</t>
  </si>
  <si>
    <t>Thennampalayam</t>
  </si>
  <si>
    <t>22S052</t>
  </si>
  <si>
    <t>Ahmed</t>
  </si>
  <si>
    <t>22S053</t>
  </si>
  <si>
    <t>Shaurya</t>
  </si>
  <si>
    <t>22S054</t>
  </si>
  <si>
    <t>Viraj</t>
  </si>
  <si>
    <t>22S055</t>
  </si>
  <si>
    <t>Ravin</t>
  </si>
  <si>
    <t>22S056</t>
  </si>
  <si>
    <t>Aarush</t>
  </si>
  <si>
    <t>22S057</t>
  </si>
  <si>
    <t>Yohann</t>
  </si>
  <si>
    <t>22S058</t>
  </si>
  <si>
    <t xml:space="preserve"> Veer </t>
  </si>
  <si>
    <t>22S059</t>
  </si>
  <si>
    <t>Emmanuel</t>
  </si>
  <si>
    <t>Periya Kangananguppam</t>
  </si>
  <si>
    <t>22S060</t>
  </si>
  <si>
    <t>Krishna</t>
  </si>
  <si>
    <t>22S061</t>
  </si>
  <si>
    <t>Muhammad</t>
  </si>
  <si>
    <t>22S062</t>
  </si>
  <si>
    <t>Aaryan</t>
  </si>
  <si>
    <t>22S063</t>
  </si>
  <si>
    <t>Dakshn</t>
  </si>
  <si>
    <t>22S064</t>
  </si>
  <si>
    <t>Zionn</t>
  </si>
  <si>
    <t>22S065</t>
  </si>
  <si>
    <t>Aaronn</t>
  </si>
  <si>
    <t>22S066</t>
  </si>
  <si>
    <t>Priyanshn</t>
  </si>
  <si>
    <t>22S067</t>
  </si>
  <si>
    <t>Yuvaan</t>
  </si>
  <si>
    <t>22S068</t>
  </si>
  <si>
    <t>Viranshn</t>
  </si>
  <si>
    <t>Vannar Palayam</t>
  </si>
  <si>
    <t>22S069</t>
  </si>
  <si>
    <t>Rudranshn</t>
  </si>
  <si>
    <t>22S070</t>
  </si>
  <si>
    <t>George</t>
  </si>
  <si>
    <t>22S071</t>
  </si>
  <si>
    <t>Advait</t>
  </si>
  <si>
    <t>22S072</t>
  </si>
  <si>
    <t>Anandn</t>
  </si>
  <si>
    <t>22S073</t>
  </si>
  <si>
    <t>Ibrahim</t>
  </si>
  <si>
    <t>22S074</t>
  </si>
  <si>
    <t>Shivn</t>
  </si>
  <si>
    <t>Gundu Uppalavadi</t>
  </si>
  <si>
    <t>22S075</t>
  </si>
  <si>
    <t>Adamn</t>
  </si>
  <si>
    <t>22S076</t>
  </si>
  <si>
    <t>Farhann</t>
  </si>
  <si>
    <t>22S077</t>
  </si>
  <si>
    <t>Shivay</t>
  </si>
  <si>
    <t>22S078</t>
  </si>
  <si>
    <t>Nihitn</t>
  </si>
  <si>
    <t>22S079</t>
  </si>
  <si>
    <t>Yuvin</t>
  </si>
  <si>
    <t>22S080</t>
  </si>
  <si>
    <t>Elvinn</t>
  </si>
  <si>
    <t>22S081</t>
  </si>
  <si>
    <t>Kartikeya</t>
  </si>
  <si>
    <t>22S082</t>
  </si>
  <si>
    <t>Vivaan</t>
  </si>
  <si>
    <t>22S083</t>
  </si>
  <si>
    <t>Syed</t>
  </si>
  <si>
    <t>Thirupathiripuliyur</t>
  </si>
  <si>
    <t>22S084</t>
  </si>
  <si>
    <t>Avyaan</t>
  </si>
  <si>
    <t>22S085</t>
  </si>
  <si>
    <t>Nathan</t>
  </si>
  <si>
    <t>22S086</t>
  </si>
  <si>
    <t>Saiyamn</t>
  </si>
  <si>
    <t>22S087</t>
  </si>
  <si>
    <t>Atharv</t>
  </si>
  <si>
    <t>22S088</t>
  </si>
  <si>
    <t>Manasn</t>
  </si>
  <si>
    <t>22S089</t>
  </si>
  <si>
    <t xml:space="preserve">Dhruv </t>
  </si>
  <si>
    <t>22S090</t>
  </si>
  <si>
    <t>Riyaann</t>
  </si>
  <si>
    <t>22S091</t>
  </si>
  <si>
    <t>Advitn</t>
  </si>
  <si>
    <t>22S092</t>
  </si>
  <si>
    <t>Siddhantn</t>
  </si>
  <si>
    <t>22S093</t>
  </si>
  <si>
    <t>Aidan</t>
  </si>
  <si>
    <t>22S094</t>
  </si>
  <si>
    <t>Kabir</t>
  </si>
  <si>
    <t>22S095</t>
  </si>
  <si>
    <t>Viratn</t>
  </si>
  <si>
    <t>22S096</t>
  </si>
  <si>
    <t>Vihaan</t>
  </si>
  <si>
    <t>22S097</t>
  </si>
  <si>
    <t>Kriyans</t>
  </si>
  <si>
    <t>22S098</t>
  </si>
  <si>
    <t>Anvitn</t>
  </si>
  <si>
    <t>22S099</t>
  </si>
  <si>
    <t>Krishn</t>
  </si>
  <si>
    <t>Chinna Kangananguppam</t>
  </si>
  <si>
    <t>22S100</t>
  </si>
  <si>
    <t>Ayaan</t>
  </si>
  <si>
    <t>Lookup</t>
  </si>
  <si>
    <t>V lookup</t>
  </si>
  <si>
    <t>Column wise</t>
  </si>
  <si>
    <t>VLOOKUP(A8,rawdata!A$2:G$101,7,0)</t>
  </si>
  <si>
    <t>H lookup</t>
  </si>
  <si>
    <t>Row wise</t>
  </si>
  <si>
    <t>lookup</t>
  </si>
  <si>
    <t>old version - need sorting before</t>
  </si>
  <si>
    <t>X lookup</t>
  </si>
  <si>
    <t>New -both V and H</t>
  </si>
  <si>
    <t>Vlookup</t>
  </si>
  <si>
    <t>Name</t>
  </si>
  <si>
    <t>City</t>
  </si>
  <si>
    <t>withlock</t>
  </si>
  <si>
    <t>without lock</t>
  </si>
  <si>
    <t>xlookup</t>
  </si>
  <si>
    <t>id</t>
  </si>
  <si>
    <t>name</t>
  </si>
  <si>
    <t>city</t>
  </si>
  <si>
    <t>22S0280</t>
  </si>
  <si>
    <t>index</t>
  </si>
  <si>
    <t>Get Value based on cell Location</t>
  </si>
  <si>
    <t>match</t>
  </si>
  <si>
    <t>Get cell location based on Value</t>
  </si>
  <si>
    <t>we can choose only row or column</t>
  </si>
  <si>
    <t>X match</t>
  </si>
  <si>
    <t>Additional Configuration with Match</t>
  </si>
  <si>
    <t>Formula</t>
  </si>
  <si>
    <t>INDEX(E6:I8,3,3)</t>
  </si>
  <si>
    <t>a</t>
  </si>
  <si>
    <t>b</t>
  </si>
  <si>
    <t>c</t>
  </si>
  <si>
    <t>row</t>
  </si>
  <si>
    <t>INDEX(E6:I6,1,3)</t>
  </si>
  <si>
    <t>d</t>
  </si>
  <si>
    <t>e</t>
  </si>
  <si>
    <t>f</t>
  </si>
  <si>
    <t>INDEX(E6:E8,1,1)</t>
  </si>
  <si>
    <t>g</t>
  </si>
  <si>
    <t>h</t>
  </si>
  <si>
    <t>i</t>
  </si>
  <si>
    <t>Match</t>
  </si>
  <si>
    <t>MATCH("f",E7:I7,0)</t>
  </si>
  <si>
    <t>MATCH("f",G6:G8,0)</t>
  </si>
  <si>
    <t>xmatch</t>
  </si>
  <si>
    <t>XMATCH("d",E7:I7,0,-1)</t>
  </si>
  <si>
    <t>EG:</t>
  </si>
  <si>
    <t xml:space="preserve">course </t>
  </si>
  <si>
    <t>registration</t>
  </si>
  <si>
    <t>Data science</t>
  </si>
  <si>
    <t>Student Name</t>
  </si>
  <si>
    <t>Manoj</t>
  </si>
  <si>
    <t>Data Analytics</t>
  </si>
  <si>
    <t>Choose Course</t>
  </si>
  <si>
    <t>Python</t>
  </si>
  <si>
    <t>BA</t>
  </si>
  <si>
    <t>Price</t>
  </si>
  <si>
    <t>MATCH(F18,A17:A20,0)</t>
  </si>
  <si>
    <t>Duration</t>
  </si>
  <si>
    <t>Region-wise total Revenue</t>
  </si>
  <si>
    <t>Row Labels</t>
  </si>
  <si>
    <t>Sum of Revenue</t>
  </si>
  <si>
    <t>East</t>
  </si>
  <si>
    <t>North</t>
  </si>
  <si>
    <t>South</t>
  </si>
  <si>
    <t>West</t>
  </si>
  <si>
    <t>Grand Total</t>
  </si>
  <si>
    <t>Salesperson</t>
  </si>
  <si>
    <t>(All)</t>
  </si>
  <si>
    <t>Product-wise total Quantity sold</t>
  </si>
  <si>
    <t>Count of Order_ID</t>
  </si>
  <si>
    <t>Headset</t>
  </si>
  <si>
    <t>Keyboard</t>
  </si>
  <si>
    <t>Laptop</t>
  </si>
  <si>
    <t>Monitor</t>
  </si>
  <si>
    <t>Mouse</t>
  </si>
  <si>
    <t>Printer</t>
  </si>
  <si>
    <t>Column Labels</t>
  </si>
  <si>
    <t>Arun</t>
  </si>
  <si>
    <t>Divya</t>
  </si>
  <si>
    <t>Karthik</t>
  </si>
  <si>
    <t>Priya</t>
  </si>
  <si>
    <t>Order_ID</t>
  </si>
  <si>
    <t>Date</t>
  </si>
  <si>
    <t>Region</t>
  </si>
  <si>
    <t>Product</t>
  </si>
  <si>
    <t>Category</t>
  </si>
  <si>
    <t>Quantity</t>
  </si>
  <si>
    <t>Unit_Price</t>
  </si>
  <si>
    <t>Revenue</t>
  </si>
  <si>
    <t>Payment_Mode</t>
  </si>
  <si>
    <t>ORD001</t>
  </si>
  <si>
    <t>Electronics</t>
  </si>
  <si>
    <t>Card</t>
  </si>
  <si>
    <t>Salesperson-wise total Revenue</t>
  </si>
  <si>
    <t>ORD002</t>
  </si>
  <si>
    <t>Accessories</t>
  </si>
  <si>
    <t>UPI</t>
  </si>
  <si>
    <t>ORD003</t>
  </si>
  <si>
    <t>Cash</t>
  </si>
  <si>
    <t>Product-wise total Revenue</t>
  </si>
  <si>
    <t>ORD004</t>
  </si>
  <si>
    <t>Category-wise Revenue</t>
  </si>
  <si>
    <t>ORD005</t>
  </si>
  <si>
    <t>Region-wise Average Revenue</t>
  </si>
  <si>
    <t>ORD006</t>
  </si>
  <si>
    <t>Payment Mode-wise total Revenue</t>
  </si>
  <si>
    <t>ORD007</t>
  </si>
  <si>
    <t>Salesperson + Region → Total Revenue</t>
  </si>
  <si>
    <t>ORD008</t>
  </si>
  <si>
    <t>Region + Product → Total Quantity</t>
  </si>
  <si>
    <t>ORD009</t>
  </si>
  <si>
    <t>Salesperson + Product → Total Revenue</t>
  </si>
  <si>
    <t>ORD010</t>
  </si>
  <si>
    <r>
      <rPr>
        <sz val="11"/>
        <color theme="1"/>
        <rFont val="Aptos Narrow"/>
        <charset val="134"/>
        <scheme val="minor"/>
      </rPr>
      <t xml:space="preserve">Find </t>
    </r>
    <r>
      <rPr>
        <b/>
        <sz val="11"/>
        <color theme="1"/>
        <rFont val="Aptos Narrow"/>
        <charset val="134"/>
        <scheme val="minor"/>
      </rPr>
      <t>which product generated the highest Revenue</t>
    </r>
  </si>
  <si>
    <t>ORD011</t>
  </si>
  <si>
    <r>
      <rPr>
        <sz val="11"/>
        <color theme="1"/>
        <rFont val="Aptos Narrow"/>
        <charset val="134"/>
        <scheme val="minor"/>
      </rPr>
      <t xml:space="preserve">Find </t>
    </r>
    <r>
      <rPr>
        <b/>
        <sz val="11"/>
        <color theme="1"/>
        <rFont val="Aptos Narrow"/>
        <charset val="134"/>
        <scheme val="minor"/>
      </rPr>
      <t>which Region generated the highest Revenue</t>
    </r>
  </si>
  <si>
    <t>ORD012</t>
  </si>
  <si>
    <r>
      <rPr>
        <sz val="11"/>
        <color theme="1"/>
        <rFont val="Aptos Narrow"/>
        <charset val="134"/>
        <scheme val="minor"/>
      </rPr>
      <t xml:space="preserve">Find </t>
    </r>
    <r>
      <rPr>
        <b/>
        <sz val="11"/>
        <color theme="1"/>
        <rFont val="Aptos Narrow"/>
        <charset val="134"/>
        <scheme val="minor"/>
      </rPr>
      <t>which Salesperson handled the highest number of Orders</t>
    </r>
  </si>
  <si>
    <t>ORD013</t>
  </si>
  <si>
    <r>
      <rPr>
        <sz val="11"/>
        <color theme="1"/>
        <rFont val="Aptos Narrow"/>
        <charset val="134"/>
        <scheme val="minor"/>
      </rPr>
      <t xml:space="preserve">Show </t>
    </r>
    <r>
      <rPr>
        <b/>
        <sz val="11"/>
        <color theme="1"/>
        <rFont val="Aptos Narrow"/>
        <charset val="134"/>
        <scheme val="minor"/>
      </rPr>
      <t>Region in Rows, Product in Columns, Revenue in Values</t>
    </r>
  </si>
  <si>
    <t>ORD014</t>
  </si>
  <si>
    <r>
      <rPr>
        <sz val="11"/>
        <color theme="1"/>
        <rFont val="Aptos Narrow"/>
        <charset val="134"/>
        <scheme val="minor"/>
      </rPr>
      <t xml:space="preserve">Show </t>
    </r>
    <r>
      <rPr>
        <b/>
        <sz val="11"/>
        <color theme="1"/>
        <rFont val="Aptos Narrow"/>
        <charset val="134"/>
        <scheme val="minor"/>
      </rPr>
      <t>Salesperson in Rows, Payment Mode in Columns, Revenue in Values</t>
    </r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</si>
  <si>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</si>
  <si>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</si>
  <si>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</si>
  <si>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</si>
  <si>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</si>
  <si>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</si>
  <si>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</si>
  <si>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</si>
  <si>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</si>
  <si>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</si>
  <si>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</si>
  <si>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</si>
  <si>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</si>
  <si>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</si>
  <si>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</si>
  <si>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</si>
  <si>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</si>
  <si>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</si>
  <si>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</si>
  <si>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</si>
  <si>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</si>
  <si>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</si>
  <si>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</si>
  <si>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</si>
  <si>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</si>
  <si>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</si>
  <si>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</si>
  <si>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</si>
  <si>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</si>
  <si>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</si>
  <si>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</si>
  <si>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</si>
  <si>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</si>
  <si>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</si>
  <si>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</si>
  <si>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</si>
  <si>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PHP</t>
  </si>
  <si>
    <t>Java</t>
  </si>
  <si>
    <t>Data Engineer</t>
  </si>
  <si>
    <t>Course</t>
  </si>
  <si>
    <t>Fees</t>
  </si>
  <si>
    <t>Logical Operator</t>
  </si>
  <si>
    <t>FILTER(A2:G6,C2:C6&gt;20)</t>
  </si>
  <si>
    <t>*</t>
  </si>
  <si>
    <t>and</t>
  </si>
  <si>
    <t>FILTER(G:G,ISNUMBER(SEARCH("ram",G:G)))</t>
  </si>
  <si>
    <t>+</t>
  </si>
  <si>
    <t>or</t>
  </si>
  <si>
    <t>FILTER(A2:G6,(G2:G6="Cuddalore")+(G2:G6="Panruti"))</t>
  </si>
  <si>
    <t>FILTER(A2:G6,(G2:G6="Chidambaram")*(C2:C6&gt;18))</t>
  </si>
  <si>
    <t>FILTER(A2:G6,(C2:C6&gt;=18)*(C2:C6&lt;=25))</t>
  </si>
  <si>
    <t>FILTER(A2:G6,E2:E6&lt;=DATE(2022,2,20))</t>
  </si>
  <si>
    <t>FILTER(A2:G6,D2:D6&gt;=DATE(2022,1,15))</t>
  </si>
  <si>
    <t>FILTER(A2:G6,F2:F6="Beach Road")</t>
  </si>
  <si>
    <t>FILTER(A2:G6,(G2:G6="Chidambaram")+(G2:G6="Pondicherry"))</t>
  </si>
  <si>
    <t>FILTER(A2:G6,(C2:C6&gt;18)*(G2:G6="Chidambaram"))</t>
  </si>
  <si>
    <t>FILTER(A2:G6,G2:G6="Chidambaram")</t>
  </si>
  <si>
    <t>Linkedin</t>
  </si>
  <si>
    <t>Monisha</t>
  </si>
  <si>
    <t>mobile</t>
  </si>
  <si>
    <t>Code</t>
  </si>
  <si>
    <t>Number</t>
  </si>
  <si>
    <t>+91-8989889989</t>
  </si>
  <si>
    <t>MID(A10,5,1)</t>
  </si>
  <si>
    <t>RIGHT(A2,10)</t>
  </si>
  <si>
    <t>LEFT(A2,3)</t>
  </si>
  <si>
    <t>EmployeeCode</t>
  </si>
  <si>
    <t>2024E001</t>
  </si>
  <si>
    <t>2024SS0001</t>
  </si>
  <si>
    <t>text before</t>
  </si>
  <si>
    <t>Sundar Lingam</t>
  </si>
  <si>
    <t>textAfter</t>
  </si>
  <si>
    <t>options</t>
  </si>
  <si>
    <t>Sundar Lingam Chennai</t>
  </si>
  <si>
    <t>use instance number</t>
  </si>
  <si>
    <t>match end if not found</t>
  </si>
  <si>
    <t>if not found</t>
  </si>
  <si>
    <t>split text into Columns</t>
  </si>
  <si>
    <t>Data science,python,django</t>
  </si>
  <si>
    <t>column and row</t>
  </si>
  <si>
    <t>Data science,python,django|SQL ,postgress|pandas,seaborn</t>
  </si>
  <si>
    <t>ignore or Keep Empty Value</t>
  </si>
  <si>
    <t>Data science,,python,django</t>
  </si>
  <si>
    <t>Search</t>
  </si>
  <si>
    <t>Find</t>
  </si>
  <si>
    <t>find the Position of given text/char withiin the content</t>
  </si>
  <si>
    <t>ignores case sensitive and find the position</t>
  </si>
  <si>
    <t>length</t>
  </si>
  <si>
    <t>size of the given text content</t>
  </si>
  <si>
    <t>Example:</t>
  </si>
  <si>
    <t xml:space="preserve">Find </t>
  </si>
  <si>
    <t>Content</t>
  </si>
  <si>
    <t>Length</t>
  </si>
  <si>
    <t>brown</t>
  </si>
  <si>
    <t>the quick brown fox jumped over the lazy dog</t>
  </si>
  <si>
    <t>Brown</t>
  </si>
  <si>
    <t>the</t>
  </si>
  <si>
    <t>The quick brown fox jumped over the lazy dog</t>
  </si>
  <si>
    <t>1</t>
  </si>
  <si>
    <t>Concatenate</t>
  </si>
  <si>
    <t>Joining text values from cells or strings</t>
  </si>
  <si>
    <t>Sundar</t>
  </si>
  <si>
    <t>Lingam</t>
  </si>
  <si>
    <t>2</t>
  </si>
  <si>
    <t>concat(Range select panrapa space add pana mudiyathu)</t>
  </si>
  <si>
    <t>joining text calues but also support range of cells</t>
  </si>
  <si>
    <t>3</t>
  </si>
  <si>
    <t>text join</t>
  </si>
  <si>
    <t>joining text values with additional suports of delimiter</t>
  </si>
  <si>
    <t>4</t>
  </si>
  <si>
    <t>(&amp;)</t>
  </si>
  <si>
    <t>directly</t>
  </si>
  <si>
    <t>Helo</t>
  </si>
  <si>
    <t>I</t>
  </si>
  <si>
    <t>TEXTJOIN(" ",TRUE,A57:A65)</t>
  </si>
  <si>
    <t>am</t>
  </si>
  <si>
    <t>A57&amp;A58&amp;A59</t>
  </si>
  <si>
    <t>Sundhar</t>
  </si>
  <si>
    <t>CONCAT(D49:F49)</t>
  </si>
  <si>
    <t>CONCAT(D49," ",E49)</t>
  </si>
  <si>
    <t>CONCATENATE(D48," ",E48,F48,B48)</t>
  </si>
  <si>
    <t>Also</t>
  </si>
  <si>
    <t xml:space="preserve">called </t>
  </si>
  <si>
    <t>sundar</t>
  </si>
  <si>
    <t>Upper</t>
  </si>
  <si>
    <t>Believe you can and you are halfway there</t>
  </si>
  <si>
    <t>upper()</t>
  </si>
  <si>
    <t>lower</t>
  </si>
  <si>
    <t>They Key to Success is to focus to the GOAL you want to achieve in you Life, not the Obstacles</t>
  </si>
  <si>
    <t>lower()</t>
  </si>
  <si>
    <t>proper</t>
  </si>
  <si>
    <t>Focus on the GOAL</t>
  </si>
  <si>
    <t>proper()</t>
  </si>
  <si>
    <t>Replace and Substitute</t>
  </si>
  <si>
    <t>Replace</t>
  </si>
  <si>
    <t>Replace part of the text based on its Position</t>
  </si>
  <si>
    <t>REPLACE(C72,9,3,"u")</t>
  </si>
  <si>
    <t>substitute</t>
  </si>
  <si>
    <t>bsed on Matching Text</t>
  </si>
  <si>
    <t>SUBSTITUTE(C72,"you","u",1)</t>
  </si>
  <si>
    <t>php,java,php</t>
  </si>
  <si>
    <t>2 occurance matum change pananum</t>
  </si>
  <si>
    <t xml:space="preserve">  </t>
  </si>
  <si>
    <t>Date time</t>
  </si>
  <si>
    <t>Example</t>
  </si>
  <si>
    <t>date</t>
  </si>
  <si>
    <t>Creates a valid date from separate year,month and days</t>
  </si>
  <si>
    <t>DATE(year,month,day)</t>
  </si>
  <si>
    <t>Time</t>
  </si>
  <si>
    <t>Creates a time value from parts</t>
  </si>
  <si>
    <t>TIME(hr,min,sec)</t>
  </si>
  <si>
    <t>Rallway time</t>
  </si>
  <si>
    <t>TIME(21,20,10)</t>
  </si>
  <si>
    <t>datetime</t>
  </si>
  <si>
    <t>combine date + time to create Date time</t>
  </si>
  <si>
    <t>DATE(2026,9,1)+TIME(1,45,34)</t>
  </si>
  <si>
    <t>change format with custom</t>
  </si>
  <si>
    <t>today</t>
  </si>
  <si>
    <t>return the current system date</t>
  </si>
  <si>
    <t>today()</t>
  </si>
  <si>
    <t>now</t>
  </si>
  <si>
    <t>current date and time</t>
  </si>
  <si>
    <t>now()</t>
  </si>
  <si>
    <t>Date time conversion</t>
  </si>
  <si>
    <r>
      <rPr>
        <sz val="11"/>
        <color theme="1"/>
        <rFont val="Aptos Narrow"/>
        <charset val="134"/>
        <scheme val="minor"/>
      </rPr>
      <t xml:space="preserve">date </t>
    </r>
    <r>
      <rPr>
        <b/>
        <sz val="11"/>
        <color theme="1"/>
        <rFont val="Aptos Narrow"/>
        <charset val="134"/>
        <scheme val="minor"/>
      </rPr>
      <t>text to date</t>
    </r>
  </si>
  <si>
    <t>DATEVALUE(C10)</t>
  </si>
  <si>
    <t>time</t>
  </si>
  <si>
    <r>
      <rPr>
        <sz val="11"/>
        <color theme="1"/>
        <rFont val="Aptos Narrow"/>
        <charset val="134"/>
        <scheme val="minor"/>
      </rPr>
      <t xml:space="preserve">time </t>
    </r>
    <r>
      <rPr>
        <b/>
        <sz val="11"/>
        <color theme="1"/>
        <rFont val="Aptos Narrow"/>
        <charset val="134"/>
        <scheme val="minor"/>
      </rPr>
      <t>text to date</t>
    </r>
  </si>
  <si>
    <t>extract</t>
  </si>
  <si>
    <t>day(serial_number)</t>
  </si>
  <si>
    <t>month(serial_number)</t>
  </si>
  <si>
    <t>year(serial_number)</t>
  </si>
  <si>
    <t>hour(serial_number)</t>
  </si>
  <si>
    <t>minute(serial_number)</t>
  </si>
  <si>
    <t>seconds(serial_number)</t>
  </si>
  <si>
    <t>weeknum(serial_number,return_type)</t>
  </si>
  <si>
    <t>weekday(serial_number,return_type)</t>
  </si>
  <si>
    <t>Date Difference</t>
  </si>
  <si>
    <t>Date1</t>
  </si>
  <si>
    <t>date2</t>
  </si>
  <si>
    <t>Date Dif</t>
  </si>
  <si>
    <t>in years</t>
  </si>
  <si>
    <t>datedif(date1,date2,"Y")</t>
  </si>
  <si>
    <t>in months</t>
  </si>
  <si>
    <t>datedif(date1,date2,"m")</t>
  </si>
  <si>
    <t>in days</t>
  </si>
  <si>
    <t>datedif(date1,date2,"d")</t>
  </si>
  <si>
    <t>Days</t>
  </si>
  <si>
    <t>no of days between 2 dates</t>
  </si>
  <si>
    <t>days(end_date,start_date)</t>
  </si>
  <si>
    <t>net work days</t>
  </si>
  <si>
    <t>working days between two dates</t>
  </si>
  <si>
    <t>NETWORKDAYS(C27,D27)</t>
  </si>
  <si>
    <t>include holiday</t>
  </si>
  <si>
    <t>NETWORKDAYS(start_date,end_date,holiday list)</t>
  </si>
  <si>
    <t>network days,intl</t>
  </si>
  <si>
    <t>Optionally configuring weekends</t>
  </si>
  <si>
    <t>year fraction</t>
  </si>
  <si>
    <t>calculate fractional year between 2 dates</t>
  </si>
  <si>
    <t>Date addition/adjustments</t>
  </si>
  <si>
    <t>edate</t>
  </si>
  <si>
    <t>EDATE(C33,3)</t>
  </si>
  <si>
    <t>EOMONTH(C33,3)</t>
  </si>
  <si>
    <t>WORKDAY(C33,5)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</si>
</sst>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\ AM/PM"/>
    <numFmt numFmtId="182" formatCode="dd/mm/yyyy\ hh:mm"/>
    <numFmt numFmtId="183" formatCode="[$-F800]dddd\,\ mmmm\ dd\,\ yyyy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sz val="11"/>
      <color theme="1"/>
      <name val="Times New Roman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13" applyNumberFormat="0" applyAlignment="0" applyProtection="0">
      <alignment vertical="center"/>
    </xf>
    <xf numFmtId="0" fontId="12" fillId="16" borderId="14" applyNumberFormat="0" applyAlignment="0" applyProtection="0">
      <alignment vertical="center"/>
    </xf>
    <xf numFmtId="0" fontId="13" fillId="16" borderId="13" applyNumberFormat="0" applyAlignment="0" applyProtection="0">
      <alignment vertical="center"/>
    </xf>
    <xf numFmtId="0" fontId="14" fillId="1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79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0" fontId="0" fillId="2" borderId="2" xfId="0" applyFont="1" applyFill="1" applyBorder="1"/>
    <xf numFmtId="0" fontId="0" fillId="2" borderId="3" xfId="0" applyFill="1" applyBorder="1"/>
    <xf numFmtId="0" fontId="1" fillId="2" borderId="4" xfId="0" applyFont="1" applyFill="1" applyBorder="1"/>
    <xf numFmtId="0" fontId="0" fillId="2" borderId="0" xfId="0" applyFont="1" applyFill="1" applyBorder="1"/>
    <xf numFmtId="0" fontId="1" fillId="2" borderId="0" xfId="0" applyFont="1" applyFill="1" applyBorder="1"/>
    <xf numFmtId="180" fontId="0" fillId="2" borderId="0" xfId="0" applyNumberFormat="1" applyFill="1" applyBorder="1"/>
    <xf numFmtId="0" fontId="0" fillId="2" borderId="0" xfId="0" applyFill="1" applyBorder="1"/>
    <xf numFmtId="0" fontId="0" fillId="2" borderId="5" xfId="0" applyFill="1" applyBorder="1"/>
    <xf numFmtId="180" fontId="0" fillId="0" borderId="0" xfId="0" applyNumberFormat="1"/>
    <xf numFmtId="181" fontId="0" fillId="2" borderId="0" xfId="0" applyNumberFormat="1" applyFill="1" applyBorder="1"/>
    <xf numFmtId="0" fontId="1" fillId="2" borderId="6" xfId="0" applyFont="1" applyFill="1" applyBorder="1"/>
    <xf numFmtId="0" fontId="0" fillId="2" borderId="7" xfId="0" applyFont="1" applyFill="1" applyBorder="1"/>
    <xf numFmtId="0" fontId="1" fillId="2" borderId="7" xfId="0" applyFont="1" applyFill="1" applyBorder="1"/>
    <xf numFmtId="182" fontId="0" fillId="2" borderId="7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0" fontId="0" fillId="0" borderId="0" xfId="0" applyFont="1"/>
    <xf numFmtId="183" fontId="0" fillId="0" borderId="0" xfId="0" applyNumberFormat="1" applyFont="1"/>
    <xf numFmtId="181" fontId="0" fillId="0" borderId="0" xfId="0" applyNumberFormat="1" applyFont="1"/>
    <xf numFmtId="181" fontId="0" fillId="0" borderId="0" xfId="0" applyNumberFormat="1"/>
    <xf numFmtId="0" fontId="0" fillId="0" borderId="9" xfId="0" applyFont="1" applyBorder="1"/>
    <xf numFmtId="180" fontId="0" fillId="0" borderId="9" xfId="0" applyNumberFormat="1" applyBorder="1"/>
    <xf numFmtId="0" fontId="0" fillId="3" borderId="0" xfId="0" applyFill="1"/>
    <xf numFmtId="49" fontId="0" fillId="0" borderId="0" xfId="0" applyNumberFormat="1"/>
    <xf numFmtId="49" fontId="0" fillId="4" borderId="0" xfId="0" applyNumberFormat="1" applyFill="1"/>
    <xf numFmtId="0" fontId="0" fillId="4" borderId="0" xfId="0" applyFont="1" applyFill="1"/>
    <xf numFmtId="49" fontId="0" fillId="4" borderId="0" xfId="0" applyNumberFormat="1" applyFont="1" applyFill="1"/>
    <xf numFmtId="0" fontId="0" fillId="4" borderId="0" xfId="0" applyFill="1"/>
    <xf numFmtId="49" fontId="1" fillId="5" borderId="0" xfId="0" applyNumberFormat="1" applyFont="1" applyFill="1"/>
    <xf numFmtId="0" fontId="0" fillId="5" borderId="0" xfId="0" applyFill="1"/>
    <xf numFmtId="0" fontId="0" fillId="5" borderId="0" xfId="0" applyFont="1" applyFill="1"/>
    <xf numFmtId="49" fontId="0" fillId="5" borderId="0" xfId="0" applyNumberFormat="1" applyFill="1"/>
    <xf numFmtId="49" fontId="1" fillId="6" borderId="0" xfId="0" applyNumberFormat="1" applyFont="1" applyFill="1"/>
    <xf numFmtId="0" fontId="0" fillId="6" borderId="0" xfId="0" applyFill="1"/>
    <xf numFmtId="49" fontId="0" fillId="6" borderId="0" xfId="0" applyNumberFormat="1" applyFont="1" applyFill="1"/>
    <xf numFmtId="49" fontId="0" fillId="6" borderId="0" xfId="0" applyNumberFormat="1" applyFill="1"/>
    <xf numFmtId="49" fontId="1" fillId="7" borderId="0" xfId="0" applyNumberFormat="1" applyFont="1" applyFill="1"/>
    <xf numFmtId="0" fontId="0" fillId="7" borderId="0" xfId="0" applyFill="1"/>
    <xf numFmtId="49" fontId="0" fillId="7" borderId="0" xfId="0" applyNumberFormat="1" applyFont="1" applyFill="1"/>
    <xf numFmtId="49" fontId="1" fillId="2" borderId="0" xfId="0" applyNumberFormat="1" applyFont="1" applyFill="1"/>
    <xf numFmtId="0" fontId="0" fillId="2" borderId="0" xfId="0" applyFill="1"/>
    <xf numFmtId="49" fontId="0" fillId="2" borderId="0" xfId="0" applyNumberFormat="1" applyFont="1" applyFill="1"/>
    <xf numFmtId="0" fontId="0" fillId="2" borderId="0" xfId="0" applyFont="1" applyFill="1"/>
    <xf numFmtId="49" fontId="0" fillId="2" borderId="0" xfId="0" applyNumberFormat="1" applyFill="1"/>
    <xf numFmtId="49" fontId="0" fillId="8" borderId="0" xfId="0" applyNumberFormat="1" applyFont="1" applyFill="1"/>
    <xf numFmtId="0" fontId="0" fillId="8" borderId="0" xfId="0" applyFont="1" applyFill="1"/>
    <xf numFmtId="0" fontId="0" fillId="8" borderId="0" xfId="0" applyFill="1"/>
    <xf numFmtId="49" fontId="0" fillId="8" borderId="0" xfId="0" applyNumberFormat="1" applyFill="1"/>
    <xf numFmtId="0" fontId="1" fillId="8" borderId="0" xfId="0" applyFont="1" applyFill="1"/>
    <xf numFmtId="49" fontId="0" fillId="9" borderId="0" xfId="0" applyNumberFormat="1" applyFont="1" applyFill="1"/>
    <xf numFmtId="0" fontId="0" fillId="9" borderId="0" xfId="0" applyFont="1" applyFill="1"/>
    <xf numFmtId="0" fontId="0" fillId="9" borderId="0" xfId="0" applyFill="1"/>
    <xf numFmtId="0" fontId="1" fillId="9" borderId="0" xfId="0" applyFont="1" applyFill="1"/>
    <xf numFmtId="49" fontId="0" fillId="3" borderId="0" xfId="0" applyNumberFormat="1" applyFont="1" applyFill="1"/>
    <xf numFmtId="0" fontId="0" fillId="3" borderId="0" xfId="0" applyFont="1" applyFill="1"/>
    <xf numFmtId="0" fontId="1" fillId="3" borderId="0" xfId="0" applyFont="1" applyFill="1"/>
    <xf numFmtId="0" fontId="2" fillId="0" borderId="0" xfId="6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3" fontId="0" fillId="0" borderId="0" xfId="0" applyNumberFormat="1"/>
    <xf numFmtId="183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/>
    </xf>
    <xf numFmtId="0" fontId="3" fillId="10" borderId="0" xfId="0" applyFont="1" applyFill="1" applyAlignment="1">
      <alignment vertical="center"/>
    </xf>
    <xf numFmtId="180" fontId="3" fillId="10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180" fontId="3" fillId="2" borderId="0" xfId="0" applyNumberFormat="1" applyFont="1" applyFill="1" applyAlignment="1">
      <alignment vertical="center"/>
    </xf>
    <xf numFmtId="0" fontId="3" fillId="11" borderId="0" xfId="0" applyFont="1" applyFill="1" applyAlignment="1">
      <alignment vertical="center"/>
    </xf>
    <xf numFmtId="180" fontId="3" fillId="11" borderId="0" xfId="0" applyNumberFormat="1" applyFont="1" applyFill="1" applyAlignment="1">
      <alignment vertical="center"/>
    </xf>
    <xf numFmtId="0" fontId="3" fillId="12" borderId="0" xfId="0" applyFont="1" applyFill="1" applyAlignment="1">
      <alignment vertical="center"/>
    </xf>
    <xf numFmtId="180" fontId="3" fillId="12" borderId="0" xfId="0" applyNumberFormat="1" applyFont="1" applyFill="1" applyAlignment="1">
      <alignment vertical="center"/>
    </xf>
    <xf numFmtId="0" fontId="3" fillId="13" borderId="0" xfId="0" applyFont="1" applyFill="1" applyAlignment="1">
      <alignment vertical="center"/>
    </xf>
    <xf numFmtId="180" fontId="3" fillId="13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A6C9E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[sample.xlsx]Sheet1!PivotTable13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Sheet1!$B$28:$B$29</c:f>
              <c:strCache>
                <c:ptCount val="1"/>
                <c:pt idx="0">
                  <c:v>Karthik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Sheet1!$A$30:$A$34</c:f>
              <c:multiLvlStrCache>
                <c:ptCount val="2"/>
                <c:lvl>
                  <c:pt idx="0">
                    <c:v>Printer</c:v>
                  </c:pt>
                  <c:pt idx="1">
                    <c:v>Monitor</c:v>
                  </c:pt>
                </c:lvl>
                <c:lvl>
                  <c:pt idx="0">
                    <c:v>North</c:v>
                  </c:pt>
                  <c:pt idx="1">
                    <c:v>West</c:v>
                  </c:pt>
                </c:lvl>
              </c:multiLvlStrCache>
            </c:multiLvlStrRef>
          </c:cat>
          <c:val>
            <c:numRef>
              <c:f>Sheet1!$B$30:$B$34</c:f>
              <c:numCache>
                <c:formatCode>General</c:formatCode>
                <c:ptCount val="2"/>
                <c:pt idx="0">
                  <c:v>144000</c:v>
                </c:pt>
                <c:pt idx="1">
                  <c:v>84000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978812288"/>
        <c:axId val="1978810368"/>
      </c:barChart>
      <c:catAx>
        <c:axId val="1978812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>
                    <a:solidFill>
                      <a:srgbClr val="FF0000"/>
                    </a:solidFill>
                  </a:rPr>
                  <a:t>Pr</a:t>
                </a:r>
                <a:r>
                  <a:rPr lang="en-IN"/>
                  <a:t>oduct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512010279965004"/>
              <c:y val="0.79738626421697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8810368"/>
        <c:crosses val="autoZero"/>
        <c:auto val="1"/>
        <c:lblAlgn val="ctr"/>
        <c:lblOffset val="100"/>
        <c:noMultiLvlLbl val="0"/>
      </c:catAx>
      <c:valAx>
        <c:axId val="19788103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881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505564-014b-4625-9bd0-86f6d655621d}"/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288925</xdr:colOff>
      <xdr:row>26</xdr:row>
      <xdr:rowOff>22225</xdr:rowOff>
    </xdr:from>
    <xdr:to>
      <xdr:col>13</xdr:col>
      <xdr:colOff>593725</xdr:colOff>
      <xdr:row>41</xdr:row>
      <xdr:rowOff>98425</xdr:rowOff>
    </xdr:to>
    <xdr:graphicFrame>
      <xdr:nvGraphicFramePr>
        <xdr:cNvPr id="2" name="Chart 1"/>
        <xdr:cNvGraphicFramePr/>
      </xdr:nvGraphicFramePr>
      <xdr:xfrm>
        <a:off x="7630160" y="4645025"/>
        <a:ext cx="5105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91.5086083333" refreshedBy="DELL" recordCount="50">
  <cacheSource type="worksheet">
    <worksheetSource ref="A1:J51" sheet="Pivot"/>
  </cacheSource>
  <cacheFields count="10">
    <cacheField name="Order_ID" numFmtId="0">
      <sharedItems count="50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</sharedItems>
    </cacheField>
    <cacheField name="Date" numFmtId="180"/>
    <cacheField name="Salesperson" numFmtId="0">
      <sharedItems count="4">
        <s v="Arun"/>
        <s v="Priya"/>
        <s v="Karthik"/>
        <s v="Divya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6">
        <s v="Laptop"/>
        <s v="Mouse"/>
        <s v="Keyboard"/>
        <s v="Monitor"/>
        <s v="Printer"/>
        <s v="Headset"/>
      </sharedItems>
    </cacheField>
    <cacheField name="Category" numFmtId="0"/>
    <cacheField name="Quantity" numFmtId="0"/>
    <cacheField name="Unit_Price" numFmtId="0"/>
    <cacheField name="Revenue" numFmtId="0"/>
    <cacheField name="Payment_Mod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d v="2026-01-05T00:00:00"/>
    <x v="0"/>
    <x v="0"/>
    <x v="0"/>
    <s v="Electronics"/>
    <n v="2"/>
    <n v="55000"/>
    <n v="110000"/>
    <s v="Card"/>
  </r>
  <r>
    <x v="1"/>
    <d v="2026-01-06T00:00:00"/>
    <x v="1"/>
    <x v="1"/>
    <x v="1"/>
    <s v="Accessories"/>
    <n v="10"/>
    <n v="800"/>
    <n v="8000"/>
    <s v="UPI"/>
  </r>
  <r>
    <x v="2"/>
    <d v="2026-01-07T00:00:00"/>
    <x v="2"/>
    <x v="2"/>
    <x v="2"/>
    <s v="Accessories"/>
    <n v="5"/>
    <n v="1500"/>
    <n v="7500"/>
    <s v="Cash"/>
  </r>
  <r>
    <x v="3"/>
    <d v="2026-01-08T00:00:00"/>
    <x v="3"/>
    <x v="3"/>
    <x v="3"/>
    <s v="Electronics"/>
    <n v="3"/>
    <n v="12000"/>
    <n v="36000"/>
    <s v="Card"/>
  </r>
  <r>
    <x v="4"/>
    <d v="2026-01-09T00:00:00"/>
    <x v="0"/>
    <x v="1"/>
    <x v="4"/>
    <s v="Electronics"/>
    <n v="2"/>
    <n v="18000"/>
    <n v="36000"/>
    <s v="UPI"/>
  </r>
  <r>
    <x v="5"/>
    <d v="2026-01-10T00:00:00"/>
    <x v="1"/>
    <x v="0"/>
    <x v="5"/>
    <s v="Accessories"/>
    <n v="8"/>
    <n v="2500"/>
    <n v="20000"/>
    <s v="Card"/>
  </r>
  <r>
    <x v="6"/>
    <d v="2026-01-11T00:00:00"/>
    <x v="2"/>
    <x v="3"/>
    <x v="0"/>
    <s v="Electronics"/>
    <n v="1"/>
    <n v="55000"/>
    <n v="55000"/>
    <s v="UPI"/>
  </r>
  <r>
    <x v="7"/>
    <d v="2026-01-12T00:00:00"/>
    <x v="3"/>
    <x v="2"/>
    <x v="1"/>
    <s v="Accessories"/>
    <n v="15"/>
    <n v="800"/>
    <n v="12000"/>
    <s v="Cash"/>
  </r>
  <r>
    <x v="8"/>
    <d v="2026-01-13T00:00:00"/>
    <x v="0"/>
    <x v="2"/>
    <x v="3"/>
    <s v="Electronics"/>
    <n v="4"/>
    <n v="12000"/>
    <n v="48000"/>
    <s v="Card"/>
  </r>
  <r>
    <x v="9"/>
    <d v="2026-01-14T00:00:00"/>
    <x v="1"/>
    <x v="1"/>
    <x v="2"/>
    <s v="Accessories"/>
    <n v="7"/>
    <n v="1500"/>
    <n v="10500"/>
    <s v="UPI"/>
  </r>
  <r>
    <x v="10"/>
    <d v="2026-01-15T00:00:00"/>
    <x v="2"/>
    <x v="0"/>
    <x v="4"/>
    <s v="Electronics"/>
    <n v="3"/>
    <n v="18000"/>
    <n v="54000"/>
    <s v="Card"/>
  </r>
  <r>
    <x v="11"/>
    <d v="2026-01-16T00:00:00"/>
    <x v="3"/>
    <x v="3"/>
    <x v="5"/>
    <s v="Accessories"/>
    <n v="6"/>
    <n v="2500"/>
    <n v="15000"/>
    <s v="Cash"/>
  </r>
  <r>
    <x v="12"/>
    <d v="2026-01-17T00:00:00"/>
    <x v="0"/>
    <x v="0"/>
    <x v="0"/>
    <s v="Electronics"/>
    <n v="3"/>
    <n v="55000"/>
    <n v="165000"/>
    <s v="UPI"/>
  </r>
  <r>
    <x v="13"/>
    <d v="2026-01-18T00:00:00"/>
    <x v="1"/>
    <x v="2"/>
    <x v="1"/>
    <s v="Accessories"/>
    <n v="20"/>
    <n v="800"/>
    <n v="16000"/>
    <s v="Card"/>
  </r>
  <r>
    <x v="14"/>
    <d v="2026-01-19T00:00:00"/>
    <x v="2"/>
    <x v="1"/>
    <x v="3"/>
    <s v="Electronics"/>
    <n v="2"/>
    <n v="12000"/>
    <n v="24000"/>
    <s v="Cash"/>
  </r>
  <r>
    <x v="15"/>
    <d v="2026-01-20T00:00:00"/>
    <x v="3"/>
    <x v="0"/>
    <x v="2"/>
    <s v="Accessories"/>
    <n v="10"/>
    <n v="1500"/>
    <n v="15000"/>
    <s v="UPI"/>
  </r>
  <r>
    <x v="16"/>
    <d v="2026-01-21T00:00:00"/>
    <x v="0"/>
    <x v="3"/>
    <x v="4"/>
    <s v="Electronics"/>
    <n v="1"/>
    <n v="18000"/>
    <n v="18000"/>
    <s v="Card"/>
  </r>
  <r>
    <x v="17"/>
    <d v="2026-01-22T00:00:00"/>
    <x v="1"/>
    <x v="1"/>
    <x v="5"/>
    <s v="Accessories"/>
    <n v="12"/>
    <n v="2500"/>
    <n v="30000"/>
    <s v="UPI"/>
  </r>
  <r>
    <x v="18"/>
    <d v="2026-01-23T00:00:00"/>
    <x v="2"/>
    <x v="2"/>
    <x v="0"/>
    <s v="Electronics"/>
    <n v="2"/>
    <n v="55000"/>
    <n v="110000"/>
    <s v="Card"/>
  </r>
  <r>
    <x v="19"/>
    <d v="2026-01-24T00:00:00"/>
    <x v="3"/>
    <x v="0"/>
    <x v="1"/>
    <s v="Accessories"/>
    <n v="18"/>
    <n v="800"/>
    <n v="14400"/>
    <s v="Cash"/>
  </r>
  <r>
    <x v="20"/>
    <d v="2026-01-25T00:00:00"/>
    <x v="0"/>
    <x v="1"/>
    <x v="3"/>
    <s v="Electronics"/>
    <n v="5"/>
    <n v="12000"/>
    <n v="60000"/>
    <s v="UPI"/>
  </r>
  <r>
    <x v="21"/>
    <d v="2026-01-26T00:00:00"/>
    <x v="1"/>
    <x v="3"/>
    <x v="2"/>
    <s v="Accessories"/>
    <n v="9"/>
    <n v="1500"/>
    <n v="13500"/>
    <s v="Card"/>
  </r>
  <r>
    <x v="22"/>
    <d v="2026-01-27T00:00:00"/>
    <x v="2"/>
    <x v="0"/>
    <x v="4"/>
    <s v="Electronics"/>
    <n v="2"/>
    <n v="18000"/>
    <n v="36000"/>
    <s v="Cash"/>
  </r>
  <r>
    <x v="23"/>
    <d v="2026-01-28T00:00:00"/>
    <x v="3"/>
    <x v="2"/>
    <x v="5"/>
    <s v="Accessories"/>
    <n v="10"/>
    <n v="2500"/>
    <n v="25000"/>
    <s v="UPI"/>
  </r>
  <r>
    <x v="24"/>
    <d v="2026-01-29T00:00:00"/>
    <x v="0"/>
    <x v="2"/>
    <x v="0"/>
    <s v="Electronics"/>
    <n v="1"/>
    <n v="55000"/>
    <n v="55000"/>
    <s v="Card"/>
  </r>
  <r>
    <x v="25"/>
    <d v="2026-01-30T00:00:00"/>
    <x v="1"/>
    <x v="1"/>
    <x v="1"/>
    <s v="Accessories"/>
    <n v="25"/>
    <n v="800"/>
    <n v="20000"/>
    <s v="UPI"/>
  </r>
  <r>
    <x v="26"/>
    <d v="2026-01-31T00:00:00"/>
    <x v="2"/>
    <x v="3"/>
    <x v="3"/>
    <s v="Electronics"/>
    <n v="3"/>
    <n v="12000"/>
    <n v="36000"/>
    <s v="Card"/>
  </r>
  <r>
    <x v="27"/>
    <d v="2026-02-01T00:00:00"/>
    <x v="3"/>
    <x v="0"/>
    <x v="2"/>
    <s v="Accessories"/>
    <n v="8"/>
    <n v="1500"/>
    <n v="12000"/>
    <s v="Cash"/>
  </r>
  <r>
    <x v="28"/>
    <d v="2026-02-02T00:00:00"/>
    <x v="0"/>
    <x v="3"/>
    <x v="4"/>
    <s v="Electronics"/>
    <n v="4"/>
    <n v="18000"/>
    <n v="72000"/>
    <s v="UPI"/>
  </r>
  <r>
    <x v="29"/>
    <d v="2026-02-03T00:00:00"/>
    <x v="1"/>
    <x v="2"/>
    <x v="5"/>
    <s v="Accessories"/>
    <n v="15"/>
    <n v="2500"/>
    <n v="37500"/>
    <s v="Card"/>
  </r>
  <r>
    <x v="30"/>
    <d v="2026-02-04T00:00:00"/>
    <x v="2"/>
    <x v="1"/>
    <x v="0"/>
    <s v="Electronics"/>
    <n v="2"/>
    <n v="55000"/>
    <n v="110000"/>
    <s v="UPI"/>
  </r>
  <r>
    <x v="31"/>
    <d v="2026-02-05T00:00:00"/>
    <x v="3"/>
    <x v="0"/>
    <x v="1"/>
    <s v="Accessories"/>
    <n v="20"/>
    <n v="800"/>
    <n v="16000"/>
    <s v="Cash"/>
  </r>
  <r>
    <x v="32"/>
    <d v="2026-02-06T00:00:00"/>
    <x v="0"/>
    <x v="2"/>
    <x v="3"/>
    <s v="Electronics"/>
    <n v="2"/>
    <n v="12000"/>
    <n v="24000"/>
    <s v="Card"/>
  </r>
  <r>
    <x v="33"/>
    <d v="2026-02-07T00:00:00"/>
    <x v="1"/>
    <x v="3"/>
    <x v="2"/>
    <s v="Accessories"/>
    <n v="12"/>
    <n v="1500"/>
    <n v="18000"/>
    <s v="UPI"/>
  </r>
  <r>
    <x v="34"/>
    <d v="2026-02-08T00:00:00"/>
    <x v="2"/>
    <x v="0"/>
    <x v="4"/>
    <s v="Electronics"/>
    <n v="3"/>
    <n v="18000"/>
    <n v="54000"/>
    <s v="Card"/>
  </r>
  <r>
    <x v="35"/>
    <d v="2026-02-09T00:00:00"/>
    <x v="3"/>
    <x v="1"/>
    <x v="5"/>
    <s v="Accessories"/>
    <n v="7"/>
    <n v="2500"/>
    <n v="17500"/>
    <s v="Cash"/>
  </r>
  <r>
    <x v="36"/>
    <d v="2026-02-10T00:00:00"/>
    <x v="0"/>
    <x v="1"/>
    <x v="0"/>
    <s v="Electronics"/>
    <n v="2"/>
    <n v="55000"/>
    <n v="110000"/>
    <s v="UPI"/>
  </r>
  <r>
    <x v="37"/>
    <d v="2026-02-11T00:00:00"/>
    <x v="1"/>
    <x v="2"/>
    <x v="1"/>
    <s v="Accessories"/>
    <n v="30"/>
    <n v="800"/>
    <n v="24000"/>
    <s v="Card"/>
  </r>
  <r>
    <x v="38"/>
    <d v="2026-02-12T00:00:00"/>
    <x v="2"/>
    <x v="3"/>
    <x v="3"/>
    <s v="Electronics"/>
    <n v="4"/>
    <n v="12000"/>
    <n v="48000"/>
    <s v="Cash"/>
  </r>
  <r>
    <x v="39"/>
    <d v="2026-02-13T00:00:00"/>
    <x v="3"/>
    <x v="0"/>
    <x v="2"/>
    <s v="Accessories"/>
    <n v="15"/>
    <n v="1500"/>
    <n v="22500"/>
    <s v="UPI"/>
  </r>
  <r>
    <x v="40"/>
    <d v="2026-02-14T00:00:00"/>
    <x v="0"/>
    <x v="0"/>
    <x v="4"/>
    <s v="Electronics"/>
    <n v="2"/>
    <n v="18000"/>
    <n v="36000"/>
    <s v="Card"/>
  </r>
  <r>
    <x v="41"/>
    <d v="2026-02-15T00:00:00"/>
    <x v="1"/>
    <x v="1"/>
    <x v="5"/>
    <s v="Accessories"/>
    <n v="10"/>
    <n v="2500"/>
    <n v="25000"/>
    <s v="UPI"/>
  </r>
  <r>
    <x v="42"/>
    <d v="2026-02-16T00:00:00"/>
    <x v="2"/>
    <x v="2"/>
    <x v="0"/>
    <s v="Electronics"/>
    <n v="3"/>
    <n v="55000"/>
    <n v="165000"/>
    <s v="Card"/>
  </r>
  <r>
    <x v="43"/>
    <d v="2026-02-17T00:00:00"/>
    <x v="3"/>
    <x v="3"/>
    <x v="1"/>
    <s v="Accessories"/>
    <n v="22"/>
    <n v="800"/>
    <n v="17600"/>
    <s v="Cash"/>
  </r>
  <r>
    <x v="44"/>
    <d v="2026-02-18T00:00:00"/>
    <x v="0"/>
    <x v="2"/>
    <x v="3"/>
    <s v="Electronics"/>
    <n v="5"/>
    <n v="12000"/>
    <n v="60000"/>
    <s v="UPI"/>
  </r>
  <r>
    <x v="45"/>
    <d v="2026-02-19T00:00:00"/>
    <x v="1"/>
    <x v="0"/>
    <x v="2"/>
    <s v="Accessories"/>
    <n v="11"/>
    <n v="1500"/>
    <n v="16500"/>
    <s v="Card"/>
  </r>
  <r>
    <x v="46"/>
    <d v="2026-02-20T00:00:00"/>
    <x v="2"/>
    <x v="1"/>
    <x v="4"/>
    <s v="Electronics"/>
    <n v="2"/>
    <n v="18000"/>
    <n v="36000"/>
    <s v="Cash"/>
  </r>
  <r>
    <x v="47"/>
    <d v="2026-02-21T00:00:00"/>
    <x v="3"/>
    <x v="3"/>
    <x v="5"/>
    <s v="Accessories"/>
    <n v="9"/>
    <n v="2500"/>
    <n v="22500"/>
    <s v="UPI"/>
  </r>
  <r>
    <x v="48"/>
    <d v="2026-02-22T00:00:00"/>
    <x v="0"/>
    <x v="3"/>
    <x v="0"/>
    <s v="Electronics"/>
    <n v="2"/>
    <n v="55000"/>
    <n v="110000"/>
    <s v="Card"/>
  </r>
  <r>
    <x v="49"/>
    <d v="2026-02-23T00:00:00"/>
    <x v="1"/>
    <x v="2"/>
    <x v="1"/>
    <s v="Accessories"/>
    <n v="28"/>
    <n v="800"/>
    <n v="22400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7">
  <location ref="A28:C34" firstHeaderRow="1" firstDataRow="2" firstDataCol="1"/>
  <pivotFields count="10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80" showAll="0"/>
    <pivotField axis="axisCol" showAll="0">
      <items count="5">
        <item h="1" x="0"/>
        <item h="1" x="3"/>
        <item x="2"/>
        <item h="1" x="1"/>
        <item t="default"/>
      </items>
    </pivotField>
    <pivotField axis="axisRow" showAll="0">
      <items count="5">
        <item h="1" x="2"/>
        <item x="0"/>
        <item h="1" x="1"/>
        <item x="3"/>
        <item t="default"/>
      </items>
    </pivotField>
    <pivotField axis="axisRow" showAll="0">
      <items count="7">
        <item x="5"/>
        <item h="1" x="2"/>
        <item h="1" x="0"/>
        <item x="3"/>
        <item h="1" x="1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3"/>
    <field x="4"/>
  </rowFields>
  <rowItems count="5">
    <i>
      <x v="1"/>
    </i>
    <i r="1">
      <x v="5"/>
    </i>
    <i>
      <x v="3"/>
    </i>
    <i r="1">
      <x v="3"/>
    </i>
    <i t="grand">
      <x/>
    </i>
  </rowItems>
  <colFields count="1">
    <field x="2"/>
  </colFields>
  <colItems count="2">
    <i>
      <x v="2"/>
    </i>
    <i t="grand">
      <x/>
    </i>
  </colItems>
  <dataFields count="1">
    <dataField name="Sum of Reven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20:F26" firstHeaderRow="1" firstDataRow="2" firstDataCol="1"/>
  <pivotFields count="10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80" showAll="0"/>
    <pivotField axis="axisRow" showAll="0">
      <items count="5">
        <item x="0"/>
        <item x="3"/>
        <item x="2"/>
        <item x="1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>
  <location ref="A11:B18" firstHeaderRow="1" firstDataRow="1" firstDataCol="1" rowPageCount="1" colPageCount="1"/>
  <pivotFields count="10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80" showAll="0"/>
    <pivotField axis="axisPage" showAll="0">
      <items count="5">
        <item x="0"/>
        <item x="3"/>
        <item x="2"/>
        <item x="1"/>
        <item t="default"/>
      </items>
    </pivotField>
    <pivotField showAll="0"/>
    <pivotField axis="axisRow" showAll="0">
      <items count="7">
        <item x="5"/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/>
  </pageField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8" firstHeaderRow="1" firstDataRow="1" firstDataCol="1"/>
  <pivotFields count="10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80"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monisha-maruthaiyan-0578034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topLeftCell="A78" workbookViewId="0">
      <selection activeCell="A8" sqref="A8"/>
    </sheetView>
  </sheetViews>
  <sheetFormatPr defaultColWidth="9" defaultRowHeight="14"/>
  <cols>
    <col min="1" max="3" width="9" style="67"/>
    <col min="4" max="4" width="10.0916666666667" style="67" customWidth="1"/>
    <col min="5" max="5" width="11.0916666666667" style="67" customWidth="1"/>
    <col min="6" max="6" width="9" style="67"/>
    <col min="7" max="7" width="12.2666666666667" style="67" customWidth="1"/>
  </cols>
  <sheetData>
    <row r="1" spans="1:17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</row>
    <row r="2" spans="1:17">
      <c r="A2" s="69" t="s">
        <v>7</v>
      </c>
      <c r="B2" s="69" t="s">
        <v>8</v>
      </c>
      <c r="C2" s="69">
        <v>17</v>
      </c>
      <c r="D2" s="70">
        <v>44563</v>
      </c>
      <c r="E2" s="70">
        <v>44593</v>
      </c>
      <c r="F2" s="69" t="s">
        <v>9</v>
      </c>
      <c r="G2" s="69" t="s">
        <v>10</v>
      </c>
    </row>
    <row r="3" spans="1:17">
      <c r="A3" s="69" t="s">
        <v>11</v>
      </c>
      <c r="B3" s="69" t="s">
        <v>12</v>
      </c>
      <c r="C3" s="69">
        <v>21</v>
      </c>
      <c r="D3" s="70">
        <v>44570</v>
      </c>
      <c r="E3" s="70">
        <v>44612</v>
      </c>
      <c r="F3" s="69" t="s">
        <v>13</v>
      </c>
      <c r="G3" s="69" t="s">
        <v>10</v>
      </c>
      <c r="I3" t="str" cm="1">
        <f t="array" ref="I3:O16">_xlfn._xlws.FILTER(A:G,G:G="Panruti")</f>
        <v>22S004</v>
      </c>
      <c r="J3" t="str">
        <v>Zohaann</v>
      </c>
      <c r="K3">
        <v>19</v>
      </c>
      <c r="L3">
        <v>44577</v>
      </c>
      <c r="M3">
        <v>44613</v>
      </c>
      <c r="N3" t="str">
        <v>Beach Road</v>
      </c>
      <c r="O3" t="str">
        <v>Panruti</v>
      </c>
      <c r="Q3">
        <f>DAY(D2)</f>
        <v>2</v>
      </c>
    </row>
    <row r="4" spans="1:17">
      <c r="A4" s="71" t="s">
        <v>14</v>
      </c>
      <c r="B4" s="71" t="s">
        <v>15</v>
      </c>
      <c r="C4" s="71">
        <v>30</v>
      </c>
      <c r="D4" s="72">
        <v>44576</v>
      </c>
      <c r="E4" s="72">
        <v>44628</v>
      </c>
      <c r="F4" s="71" t="s">
        <v>16</v>
      </c>
      <c r="G4" s="71" t="s">
        <v>17</v>
      </c>
      <c r="I4" t="str">
        <v>22S009</v>
      </c>
      <c r="J4" t="str">
        <v>Aditya</v>
      </c>
      <c r="K4">
        <v>18</v>
      </c>
      <c r="L4">
        <v>44588</v>
      </c>
      <c r="M4">
        <v>44633</v>
      </c>
      <c r="N4" t="str">
        <v>Manjakuppam</v>
      </c>
      <c r="O4" t="str">
        <v>Panruti</v>
      </c>
      <c r="Q4">
        <f t="shared" ref="Q4:Q13" si="0">DAY(D3)</f>
        <v>9</v>
      </c>
    </row>
    <row r="5" spans="1:17">
      <c r="A5" s="73" t="s">
        <v>18</v>
      </c>
      <c r="B5" s="73" t="s">
        <v>19</v>
      </c>
      <c r="C5" s="73">
        <v>19</v>
      </c>
      <c r="D5" s="74">
        <v>44577</v>
      </c>
      <c r="E5" s="74">
        <v>44613</v>
      </c>
      <c r="F5" s="73" t="s">
        <v>9</v>
      </c>
      <c r="G5" s="73" t="s">
        <v>20</v>
      </c>
      <c r="I5" t="str">
        <v>22S014</v>
      </c>
      <c r="J5" t="str">
        <v>Rudra</v>
      </c>
      <c r="K5">
        <v>26</v>
      </c>
      <c r="L5">
        <v>44607</v>
      </c>
      <c r="M5">
        <v>44659</v>
      </c>
      <c r="N5" t="str">
        <v>Saibaba Colony</v>
      </c>
      <c r="O5" t="str">
        <v>Panruti</v>
      </c>
      <c r="Q5">
        <f t="shared" si="0"/>
        <v>15</v>
      </c>
    </row>
    <row r="6" spans="1:17">
      <c r="A6" s="75" t="s">
        <v>21</v>
      </c>
      <c r="B6" s="75" t="s">
        <v>22</v>
      </c>
      <c r="C6" s="75">
        <v>18</v>
      </c>
      <c r="D6" s="76">
        <v>44578</v>
      </c>
      <c r="E6" s="76">
        <v>44612</v>
      </c>
      <c r="F6" s="75" t="s">
        <v>23</v>
      </c>
      <c r="G6" s="75" t="s">
        <v>24</v>
      </c>
      <c r="I6" t="str">
        <v>22S016</v>
      </c>
      <c r="J6" t="str">
        <v>Shlok</v>
      </c>
      <c r="K6">
        <v>25</v>
      </c>
      <c r="L6">
        <v>44609</v>
      </c>
      <c r="M6">
        <v>44662</v>
      </c>
      <c r="N6" t="str">
        <v>Vellapakkam</v>
      </c>
      <c r="O6" t="str">
        <v>Panruti</v>
      </c>
      <c r="Q6">
        <f t="shared" si="0"/>
        <v>16</v>
      </c>
    </row>
    <row r="7" spans="1:17">
      <c r="A7" s="77" t="s">
        <v>25</v>
      </c>
      <c r="B7" s="77" t="s">
        <v>26</v>
      </c>
      <c r="C7" s="77">
        <v>27</v>
      </c>
      <c r="D7" s="78">
        <v>44578</v>
      </c>
      <c r="E7" s="78">
        <v>44629</v>
      </c>
      <c r="F7" s="77" t="s">
        <v>13</v>
      </c>
      <c r="G7" s="77" t="s">
        <v>27</v>
      </c>
      <c r="I7" t="str">
        <v>22S018</v>
      </c>
      <c r="J7" t="str">
        <v>Arjun</v>
      </c>
      <c r="K7">
        <v>16</v>
      </c>
      <c r="L7">
        <v>44621</v>
      </c>
      <c r="M7">
        <v>44669</v>
      </c>
      <c r="N7" t="str">
        <v>Manjakuppam</v>
      </c>
      <c r="O7" t="str">
        <v>Panruti</v>
      </c>
      <c r="Q7">
        <f t="shared" si="0"/>
        <v>17</v>
      </c>
    </row>
    <row r="8" spans="1:17">
      <c r="A8" s="75" t="s">
        <v>28</v>
      </c>
      <c r="B8" s="75" t="s">
        <v>29</v>
      </c>
      <c r="C8" s="75">
        <v>23</v>
      </c>
      <c r="D8" s="76">
        <v>44585</v>
      </c>
      <c r="E8" s="76">
        <v>44639</v>
      </c>
      <c r="F8" s="75" t="s">
        <v>30</v>
      </c>
      <c r="G8" s="75" t="s">
        <v>24</v>
      </c>
      <c r="I8" t="str">
        <v>22S027</v>
      </c>
      <c r="J8" t="str">
        <v>Mokshn</v>
      </c>
      <c r="K8">
        <v>19</v>
      </c>
      <c r="L8">
        <v>44643</v>
      </c>
      <c r="M8">
        <v>44702</v>
      </c>
      <c r="N8" t="str">
        <v>O.T</v>
      </c>
      <c r="O8" t="str">
        <v>Panruti</v>
      </c>
      <c r="Q8">
        <f t="shared" si="0"/>
        <v>17</v>
      </c>
    </row>
    <row r="9" spans="1:17">
      <c r="A9" s="75" t="s">
        <v>31</v>
      </c>
      <c r="B9" s="75" t="s">
        <v>32</v>
      </c>
      <c r="C9" s="75">
        <v>30</v>
      </c>
      <c r="D9" s="76">
        <v>44586</v>
      </c>
      <c r="E9" s="76">
        <v>44623</v>
      </c>
      <c r="F9" s="75" t="s">
        <v>33</v>
      </c>
      <c r="G9" s="75" t="s">
        <v>24</v>
      </c>
      <c r="I9" t="str">
        <v>22S029</v>
      </c>
      <c r="J9" t="str">
        <v>Tanishn</v>
      </c>
      <c r="K9">
        <v>17</v>
      </c>
      <c r="L9">
        <v>44648</v>
      </c>
      <c r="M9">
        <v>44679</v>
      </c>
      <c r="N9" t="str">
        <v>Pattampakkam</v>
      </c>
      <c r="O9" t="str">
        <v>Panruti</v>
      </c>
      <c r="Q9">
        <f t="shared" si="0"/>
        <v>24</v>
      </c>
    </row>
    <row r="10" spans="1:17">
      <c r="A10" s="73" t="s">
        <v>34</v>
      </c>
      <c r="B10" s="73" t="s">
        <v>35</v>
      </c>
      <c r="C10" s="73">
        <v>18</v>
      </c>
      <c r="D10" s="74">
        <v>44588</v>
      </c>
      <c r="E10" s="74">
        <v>44633</v>
      </c>
      <c r="F10" s="73" t="s">
        <v>36</v>
      </c>
      <c r="G10" s="73" t="s">
        <v>20</v>
      </c>
      <c r="I10" t="str">
        <v>22S037</v>
      </c>
      <c r="J10" t="str">
        <v>Viyaan</v>
      </c>
      <c r="K10">
        <v>25</v>
      </c>
      <c r="L10">
        <v>44669</v>
      </c>
      <c r="M10">
        <v>44720</v>
      </c>
      <c r="N10" t="str">
        <v>O.T</v>
      </c>
      <c r="O10" t="str">
        <v>Panruti</v>
      </c>
      <c r="Q10">
        <f t="shared" si="0"/>
        <v>25</v>
      </c>
    </row>
    <row r="11" spans="1:17">
      <c r="A11" s="77" t="s">
        <v>37</v>
      </c>
      <c r="B11" s="77" t="s">
        <v>38</v>
      </c>
      <c r="C11" s="77">
        <v>18</v>
      </c>
      <c r="D11" s="78">
        <v>44589</v>
      </c>
      <c r="E11" s="78">
        <v>44647</v>
      </c>
      <c r="F11" s="77" t="s">
        <v>39</v>
      </c>
      <c r="G11" s="77" t="s">
        <v>27</v>
      </c>
      <c r="I11" t="str">
        <v>22S049</v>
      </c>
      <c r="J11" t="str">
        <v>Jayden</v>
      </c>
      <c r="K11">
        <v>17</v>
      </c>
      <c r="L11">
        <v>44706</v>
      </c>
      <c r="M11">
        <v>44763</v>
      </c>
      <c r="N11" t="str">
        <v>Vellapakkam</v>
      </c>
      <c r="O11" t="str">
        <v>Panruti</v>
      </c>
      <c r="Q11">
        <f t="shared" si="0"/>
        <v>27</v>
      </c>
    </row>
    <row r="12" spans="1:17">
      <c r="A12" s="75" t="s">
        <v>40</v>
      </c>
      <c r="B12" s="75" t="s">
        <v>41</v>
      </c>
      <c r="C12" s="75">
        <v>30</v>
      </c>
      <c r="D12" s="76">
        <v>44590</v>
      </c>
      <c r="E12" s="76">
        <v>44623</v>
      </c>
      <c r="F12" s="75" t="s">
        <v>13</v>
      </c>
      <c r="G12" s="75" t="s">
        <v>24</v>
      </c>
      <c r="I12" t="str">
        <v>22S055</v>
      </c>
      <c r="J12" t="str">
        <v>Ravin</v>
      </c>
      <c r="K12">
        <v>20</v>
      </c>
      <c r="L12">
        <v>44737</v>
      </c>
      <c r="M12">
        <v>44790</v>
      </c>
      <c r="N12" t="str">
        <v>Vellapakkam</v>
      </c>
      <c r="O12" t="str">
        <v>Panruti</v>
      </c>
      <c r="Q12">
        <f t="shared" si="0"/>
        <v>28</v>
      </c>
    </row>
    <row r="13" spans="1:17">
      <c r="A13" s="75" t="s">
        <v>42</v>
      </c>
      <c r="B13" s="75" t="s">
        <v>43</v>
      </c>
      <c r="C13" s="75">
        <v>21</v>
      </c>
      <c r="D13" s="76">
        <v>44604</v>
      </c>
      <c r="E13" s="76">
        <v>44634</v>
      </c>
      <c r="F13" s="75" t="s">
        <v>44</v>
      </c>
      <c r="G13" s="75" t="s">
        <v>24</v>
      </c>
      <c r="I13" t="str">
        <v>22S079</v>
      </c>
      <c r="J13" t="str">
        <v>Yuvin</v>
      </c>
      <c r="K13">
        <v>20</v>
      </c>
      <c r="L13">
        <v>44833</v>
      </c>
      <c r="M13">
        <v>44864</v>
      </c>
      <c r="N13" t="str">
        <v>MGR Nagar</v>
      </c>
      <c r="O13" t="str">
        <v>Panruti</v>
      </c>
      <c r="Q13">
        <f t="shared" si="0"/>
        <v>29</v>
      </c>
    </row>
    <row r="14" spans="1:17">
      <c r="A14" s="75" t="s">
        <v>45</v>
      </c>
      <c r="B14" s="75" t="s">
        <v>46</v>
      </c>
      <c r="C14" s="75">
        <v>22</v>
      </c>
      <c r="D14" s="76">
        <v>44605</v>
      </c>
      <c r="E14" s="76">
        <v>44642</v>
      </c>
      <c r="F14" s="75" t="s">
        <v>47</v>
      </c>
      <c r="G14" s="75" t="s">
        <v>24</v>
      </c>
      <c r="I14" t="str">
        <v>22S086</v>
      </c>
      <c r="J14" t="str">
        <v>Saiyamn</v>
      </c>
      <c r="K14">
        <v>28</v>
      </c>
      <c r="L14">
        <v>44864</v>
      </c>
      <c r="M14">
        <v>44901</v>
      </c>
      <c r="N14" t="str">
        <v>Varakalpattu</v>
      </c>
      <c r="O14" t="str">
        <v>Panruti</v>
      </c>
    </row>
    <row r="15" spans="1:17">
      <c r="A15" s="73" t="s">
        <v>48</v>
      </c>
      <c r="B15" s="73" t="s">
        <v>49</v>
      </c>
      <c r="C15" s="73">
        <v>26</v>
      </c>
      <c r="D15" s="74">
        <v>44607</v>
      </c>
      <c r="E15" s="74">
        <v>44659</v>
      </c>
      <c r="F15" s="73" t="s">
        <v>50</v>
      </c>
      <c r="G15" s="73" t="s">
        <v>20</v>
      </c>
      <c r="I15" t="str">
        <v>22S090</v>
      </c>
      <c r="J15" t="str">
        <v>Riyaann</v>
      </c>
      <c r="K15">
        <v>0</v>
      </c>
      <c r="L15">
        <v>44868</v>
      </c>
      <c r="M15">
        <v>44902</v>
      </c>
      <c r="N15" t="str">
        <v>O.T</v>
      </c>
      <c r="O15" t="str">
        <v>Panruti</v>
      </c>
    </row>
    <row r="16" spans="1:17">
      <c r="A16" s="69" t="s">
        <v>51</v>
      </c>
      <c r="B16" s="69" t="s">
        <v>52</v>
      </c>
      <c r="C16" s="69">
        <v>30</v>
      </c>
      <c r="D16" s="70">
        <v>44608</v>
      </c>
      <c r="E16" s="70">
        <v>44642</v>
      </c>
      <c r="F16" s="69" t="s">
        <v>50</v>
      </c>
      <c r="G16" s="69" t="s">
        <v>10</v>
      </c>
      <c r="I16" t="str">
        <v>22S099</v>
      </c>
      <c r="J16" t="str">
        <v>Krishn</v>
      </c>
      <c r="K16">
        <v>18</v>
      </c>
      <c r="L16">
        <v>44908</v>
      </c>
      <c r="M16">
        <v>44956</v>
      </c>
      <c r="N16" t="str">
        <v>Chinna Kangananguppam</v>
      </c>
      <c r="O16" t="str">
        <v>Panruti</v>
      </c>
    </row>
    <row r="17" spans="1:15">
      <c r="A17" s="73" t="s">
        <v>53</v>
      </c>
      <c r="B17" s="73" t="s">
        <v>54</v>
      </c>
      <c r="C17" s="73">
        <v>25</v>
      </c>
      <c r="D17" s="74">
        <v>44609</v>
      </c>
      <c r="E17" s="74">
        <v>44662</v>
      </c>
      <c r="F17" s="73" t="s">
        <v>55</v>
      </c>
      <c r="G17" s="73" t="s">
        <v>20</v>
      </c>
    </row>
    <row r="18" spans="1:15">
      <c r="A18" s="71" t="s">
        <v>56</v>
      </c>
      <c r="B18" s="71" t="s">
        <v>57</v>
      </c>
      <c r="C18" s="71">
        <v>22</v>
      </c>
      <c r="D18" s="72">
        <v>44620</v>
      </c>
      <c r="E18" s="72">
        <v>44679</v>
      </c>
      <c r="F18" s="71" t="s">
        <v>58</v>
      </c>
      <c r="G18" s="71" t="s">
        <v>17</v>
      </c>
      <c r="I18" t="str" cm="1">
        <f t="array" ref="I18:O26">_xlfn._xlws.FILTER(A:G,C:C&gt;=30)</f>
        <v>ID</v>
      </c>
      <c r="J18" t="str">
        <v>NAME</v>
      </c>
      <c r="K18" t="str">
        <v>AGE</v>
      </c>
      <c r="L18" t="str">
        <v>JOINED</v>
      </c>
      <c r="M18" t="str">
        <v>COMPLETED</v>
      </c>
      <c r="N18" t="str">
        <v>AREA</v>
      </c>
      <c r="O18" t="str">
        <v>CITY</v>
      </c>
    </row>
    <row r="19" spans="1:15">
      <c r="A19" s="73" t="s">
        <v>59</v>
      </c>
      <c r="B19" s="73" t="s">
        <v>60</v>
      </c>
      <c r="C19" s="73">
        <v>16</v>
      </c>
      <c r="D19" s="74">
        <v>44621</v>
      </c>
      <c r="E19" s="74">
        <v>44669</v>
      </c>
      <c r="F19" s="73" t="s">
        <v>36</v>
      </c>
      <c r="G19" s="73" t="s">
        <v>20</v>
      </c>
      <c r="I19" t="str">
        <v>22S003</v>
      </c>
      <c r="J19" t="str">
        <v>Aymann</v>
      </c>
      <c r="K19">
        <v>30</v>
      </c>
      <c r="L19">
        <v>44576</v>
      </c>
      <c r="M19">
        <v>44628</v>
      </c>
      <c r="N19" t="str">
        <v>Ratchagar Nager</v>
      </c>
      <c r="O19" t="str">
        <v>Pondicherry</v>
      </c>
    </row>
    <row r="20" spans="1:15">
      <c r="A20" s="71" t="s">
        <v>61</v>
      </c>
      <c r="B20" s="71" t="s">
        <v>62</v>
      </c>
      <c r="C20" s="71">
        <v>18</v>
      </c>
      <c r="D20" s="72">
        <v>44622</v>
      </c>
      <c r="E20" s="72">
        <v>44680</v>
      </c>
      <c r="F20" s="71" t="s">
        <v>63</v>
      </c>
      <c r="G20" s="71" t="s">
        <v>17</v>
      </c>
      <c r="I20" t="str">
        <v>22S008</v>
      </c>
      <c r="J20" t="str">
        <v>Srihann</v>
      </c>
      <c r="K20">
        <v>30</v>
      </c>
      <c r="L20">
        <v>44586</v>
      </c>
      <c r="M20">
        <v>44623</v>
      </c>
      <c r="N20" t="str">
        <v>Devanampattinam</v>
      </c>
      <c r="O20" t="str">
        <v>Cuddalore</v>
      </c>
    </row>
    <row r="21" spans="1:15">
      <c r="A21" s="77" t="s">
        <v>64</v>
      </c>
      <c r="B21" s="77" t="s">
        <v>65</v>
      </c>
      <c r="C21" s="77">
        <v>24</v>
      </c>
      <c r="D21" s="78">
        <v>44623</v>
      </c>
      <c r="E21" s="78">
        <v>44682</v>
      </c>
      <c r="F21" s="77" t="s">
        <v>13</v>
      </c>
      <c r="G21" s="77" t="s">
        <v>27</v>
      </c>
      <c r="I21" t="str">
        <v>22S011</v>
      </c>
      <c r="J21" t="str">
        <v>Chrisn</v>
      </c>
      <c r="K21">
        <v>30</v>
      </c>
      <c r="L21">
        <v>44590</v>
      </c>
      <c r="M21">
        <v>44623</v>
      </c>
      <c r="N21" t="str">
        <v>Keeranathan</v>
      </c>
      <c r="O21" t="str">
        <v>Cuddalore</v>
      </c>
    </row>
    <row r="22" spans="1:15">
      <c r="A22" s="69" t="s">
        <v>66</v>
      </c>
      <c r="B22" s="69" t="s">
        <v>67</v>
      </c>
      <c r="C22" s="69">
        <v>26</v>
      </c>
      <c r="D22" s="70">
        <v>44624</v>
      </c>
      <c r="E22" s="70">
        <v>44654</v>
      </c>
      <c r="F22" s="69" t="s">
        <v>68</v>
      </c>
      <c r="G22" s="69" t="s">
        <v>10</v>
      </c>
      <c r="I22" t="str">
        <v>22S015</v>
      </c>
      <c r="J22" t="str">
        <v>Aarav</v>
      </c>
      <c r="K22">
        <v>30</v>
      </c>
      <c r="L22">
        <v>44608</v>
      </c>
      <c r="M22">
        <v>44642</v>
      </c>
      <c r="N22" t="str">
        <v>Saibaba Colony</v>
      </c>
      <c r="O22" t="str">
        <v>Chidambaram</v>
      </c>
    </row>
    <row r="23" spans="1:15">
      <c r="A23" s="71" t="s">
        <v>69</v>
      </c>
      <c r="B23" s="71" t="s">
        <v>70</v>
      </c>
      <c r="C23" s="71">
        <v>25</v>
      </c>
      <c r="D23" s="72">
        <v>44626</v>
      </c>
      <c r="E23" s="72">
        <v>44681</v>
      </c>
      <c r="F23" s="71" t="s">
        <v>71</v>
      </c>
      <c r="G23" s="71" t="s">
        <v>17</v>
      </c>
      <c r="I23" t="str">
        <v>22S053</v>
      </c>
      <c r="J23" t="str">
        <v>Shaurya</v>
      </c>
      <c r="K23">
        <v>30</v>
      </c>
      <c r="L23">
        <v>44730</v>
      </c>
      <c r="M23">
        <v>44788</v>
      </c>
      <c r="N23" t="str">
        <v>MK Street</v>
      </c>
      <c r="O23" t="str">
        <v>Neyveli</v>
      </c>
    </row>
    <row r="24" spans="1:15">
      <c r="A24" s="77" t="s">
        <v>72</v>
      </c>
      <c r="B24" s="77" t="s">
        <v>73</v>
      </c>
      <c r="C24" s="77">
        <v>22</v>
      </c>
      <c r="D24" s="78">
        <v>44632</v>
      </c>
      <c r="E24" s="78">
        <v>44666</v>
      </c>
      <c r="F24" s="77" t="s">
        <v>9</v>
      </c>
      <c r="G24" s="77" t="s">
        <v>27</v>
      </c>
      <c r="I24" t="str">
        <v>22S057</v>
      </c>
      <c r="J24" t="str">
        <v>Yohann</v>
      </c>
      <c r="K24">
        <v>30</v>
      </c>
      <c r="L24">
        <v>44744</v>
      </c>
      <c r="M24">
        <v>44793</v>
      </c>
      <c r="N24" t="str">
        <v>Saibaba Colony</v>
      </c>
      <c r="O24" t="str">
        <v>Neyveli</v>
      </c>
    </row>
    <row r="25" spans="1:15">
      <c r="A25" s="71" t="s">
        <v>74</v>
      </c>
      <c r="B25" s="71" t="s">
        <v>75</v>
      </c>
      <c r="C25" s="71">
        <v>22</v>
      </c>
      <c r="D25" s="72">
        <v>44632</v>
      </c>
      <c r="E25" s="72">
        <v>44665</v>
      </c>
      <c r="F25" s="71" t="s">
        <v>44</v>
      </c>
      <c r="G25" s="71" t="s">
        <v>17</v>
      </c>
      <c r="I25" t="str">
        <v>22S095</v>
      </c>
      <c r="J25" t="str">
        <v>Viratn</v>
      </c>
      <c r="K25">
        <v>30</v>
      </c>
      <c r="L25">
        <v>44894</v>
      </c>
      <c r="M25">
        <v>44947</v>
      </c>
      <c r="N25" t="str">
        <v>RK Streen</v>
      </c>
      <c r="O25" t="str">
        <v>Cuddalore</v>
      </c>
    </row>
    <row r="26" spans="1:15">
      <c r="A26" s="75" t="s">
        <v>76</v>
      </c>
      <c r="B26" s="75" t="s">
        <v>77</v>
      </c>
      <c r="C26" s="75">
        <v>28</v>
      </c>
      <c r="D26" s="76">
        <v>44634</v>
      </c>
      <c r="E26" s="76">
        <v>44683</v>
      </c>
      <c r="F26" s="75" t="s">
        <v>30</v>
      </c>
      <c r="G26" s="75" t="s">
        <v>24</v>
      </c>
      <c r="I26" t="str">
        <v>22S100</v>
      </c>
      <c r="J26" t="str">
        <v>Ayaan</v>
      </c>
      <c r="K26">
        <v>30</v>
      </c>
      <c r="L26">
        <v>44923</v>
      </c>
      <c r="M26">
        <v>44963</v>
      </c>
      <c r="N26" t="str">
        <v>Purushothaman Street</v>
      </c>
      <c r="O26" t="str">
        <v>Neyveli</v>
      </c>
    </row>
    <row r="27" spans="1:15">
      <c r="A27" s="71" t="s">
        <v>78</v>
      </c>
      <c r="B27" s="71" t="s">
        <v>79</v>
      </c>
      <c r="C27" s="71">
        <v>24</v>
      </c>
      <c r="D27" s="72">
        <v>44635</v>
      </c>
      <c r="E27" s="72">
        <v>44679</v>
      </c>
      <c r="F27" s="71" t="s">
        <v>39</v>
      </c>
      <c r="G27" s="71" t="s">
        <v>17</v>
      </c>
    </row>
    <row r="28" spans="1:15">
      <c r="A28" s="73" t="s">
        <v>80</v>
      </c>
      <c r="B28" s="73" t="s">
        <v>81</v>
      </c>
      <c r="C28" s="73">
        <v>19</v>
      </c>
      <c r="D28" s="74">
        <v>44643</v>
      </c>
      <c r="E28" s="74">
        <v>44702</v>
      </c>
      <c r="F28" s="73" t="s">
        <v>82</v>
      </c>
      <c r="G28" s="73" t="s">
        <v>20</v>
      </c>
      <c r="I28" t="str" cm="1">
        <f t="array" ref="I28:O44">_xlfn._xlws.FILTER(A:G,(G:G="Pondicherry")*(C:C&gt;20))</f>
        <v>22S003</v>
      </c>
      <c r="J28" t="str">
        <v>Aymann</v>
      </c>
      <c r="K28">
        <v>30</v>
      </c>
      <c r="L28">
        <v>44576</v>
      </c>
      <c r="M28">
        <v>44628</v>
      </c>
      <c r="N28" t="str">
        <v>Ratchagar Nager</v>
      </c>
      <c r="O28" t="str">
        <v>Pondicherry</v>
      </c>
    </row>
    <row r="29" spans="1:15">
      <c r="A29" s="71" t="s">
        <v>83</v>
      </c>
      <c r="B29" s="71" t="s">
        <v>84</v>
      </c>
      <c r="C29" s="71">
        <v>19</v>
      </c>
      <c r="D29" s="72">
        <v>44646</v>
      </c>
      <c r="E29" s="72">
        <v>44698</v>
      </c>
      <c r="F29" s="71" t="s">
        <v>85</v>
      </c>
      <c r="G29" s="71" t="s">
        <v>17</v>
      </c>
      <c r="I29" t="str">
        <v>22S017</v>
      </c>
      <c r="J29" t="str">
        <v>Ishaan</v>
      </c>
      <c r="K29">
        <v>22</v>
      </c>
      <c r="L29">
        <v>44620</v>
      </c>
      <c r="M29">
        <v>44679</v>
      </c>
      <c r="N29" t="str">
        <v>JJ Nagar</v>
      </c>
      <c r="O29" t="str">
        <v>Pondicherry</v>
      </c>
    </row>
    <row r="30" spans="1:15">
      <c r="A30" s="73" t="s">
        <v>86</v>
      </c>
      <c r="B30" s="73" t="s">
        <v>87</v>
      </c>
      <c r="C30" s="73">
        <v>17</v>
      </c>
      <c r="D30" s="74">
        <v>44648</v>
      </c>
      <c r="E30" s="74">
        <v>44679</v>
      </c>
      <c r="F30" s="73" t="s">
        <v>39</v>
      </c>
      <c r="G30" s="73" t="s">
        <v>20</v>
      </c>
      <c r="I30" t="str">
        <v>22S022</v>
      </c>
      <c r="J30" t="str">
        <v>Reyansh</v>
      </c>
      <c r="K30">
        <v>25</v>
      </c>
      <c r="L30">
        <v>44626</v>
      </c>
      <c r="M30">
        <v>44681</v>
      </c>
      <c r="N30" t="str">
        <v>Vella Gate</v>
      </c>
      <c r="O30" t="str">
        <v>Pondicherry</v>
      </c>
    </row>
    <row r="31" spans="1:15">
      <c r="A31" s="69" t="s">
        <v>88</v>
      </c>
      <c r="B31" s="69" t="s">
        <v>89</v>
      </c>
      <c r="C31" s="69">
        <v>26</v>
      </c>
      <c r="D31" s="70">
        <v>44648</v>
      </c>
      <c r="E31" s="70">
        <v>44697</v>
      </c>
      <c r="F31" s="69" t="s">
        <v>50</v>
      </c>
      <c r="G31" s="69" t="s">
        <v>10</v>
      </c>
      <c r="I31" t="str">
        <v>22S024</v>
      </c>
      <c r="J31" t="str">
        <v>Ritvikn</v>
      </c>
      <c r="K31">
        <v>22</v>
      </c>
      <c r="L31">
        <v>44632</v>
      </c>
      <c r="M31">
        <v>44665</v>
      </c>
      <c r="N31" t="str">
        <v>Sowdheshwari Nagar</v>
      </c>
      <c r="O31" t="str">
        <v>Pondicherry</v>
      </c>
    </row>
    <row r="32" spans="1:15">
      <c r="A32" s="69" t="s">
        <v>90</v>
      </c>
      <c r="B32" s="69" t="s">
        <v>91</v>
      </c>
      <c r="C32" s="69">
        <v>23</v>
      </c>
      <c r="D32" s="70">
        <v>44654</v>
      </c>
      <c r="E32" s="70">
        <v>44703</v>
      </c>
      <c r="F32" s="69" t="s">
        <v>92</v>
      </c>
      <c r="G32" s="69" t="s">
        <v>10</v>
      </c>
      <c r="I32" t="str">
        <v>22S026</v>
      </c>
      <c r="J32" t="str">
        <v>Ethan</v>
      </c>
      <c r="K32">
        <v>24</v>
      </c>
      <c r="L32">
        <v>44635</v>
      </c>
      <c r="M32">
        <v>44679</v>
      </c>
      <c r="N32" t="str">
        <v>Pattampakkam</v>
      </c>
      <c r="O32" t="str">
        <v>Pondicherry</v>
      </c>
    </row>
    <row r="33" spans="1:15">
      <c r="A33" s="71" t="s">
        <v>93</v>
      </c>
      <c r="B33" s="71" t="s">
        <v>94</v>
      </c>
      <c r="C33" s="71">
        <v>16</v>
      </c>
      <c r="D33" s="72">
        <v>44655</v>
      </c>
      <c r="E33" s="72">
        <v>44712</v>
      </c>
      <c r="F33" s="71" t="s">
        <v>95</v>
      </c>
      <c r="G33" s="71" t="s">
        <v>17</v>
      </c>
      <c r="I33" t="str">
        <v>22S034</v>
      </c>
      <c r="J33" t="str">
        <v>Ivaan</v>
      </c>
      <c r="K33">
        <v>29</v>
      </c>
      <c r="L33">
        <v>44659</v>
      </c>
      <c r="M33">
        <v>44717</v>
      </c>
      <c r="N33" t="str">
        <v>Beach Road</v>
      </c>
      <c r="O33" t="str">
        <v>Pondicherry</v>
      </c>
    </row>
    <row r="34" spans="1:15">
      <c r="A34" s="75" t="s">
        <v>96</v>
      </c>
      <c r="B34" s="75" t="s">
        <v>97</v>
      </c>
      <c r="C34" s="75">
        <v>22</v>
      </c>
      <c r="D34" s="76">
        <v>44657</v>
      </c>
      <c r="E34" s="76">
        <v>44701</v>
      </c>
      <c r="F34" s="75" t="s">
        <v>98</v>
      </c>
      <c r="G34" s="75" t="s">
        <v>24</v>
      </c>
      <c r="I34" t="str">
        <v>22S040</v>
      </c>
      <c r="J34" t="str">
        <v>Pranav</v>
      </c>
      <c r="K34">
        <v>21</v>
      </c>
      <c r="L34">
        <v>44672</v>
      </c>
      <c r="M34">
        <v>44717</v>
      </c>
      <c r="N34" t="str">
        <v>Sowdheshwari Nagar</v>
      </c>
      <c r="O34" t="str">
        <v>Pondicherry</v>
      </c>
    </row>
    <row r="35" spans="1:15">
      <c r="A35" s="71" t="s">
        <v>99</v>
      </c>
      <c r="B35" s="71" t="s">
        <v>100</v>
      </c>
      <c r="C35" s="71">
        <v>29</v>
      </c>
      <c r="D35" s="72">
        <v>44659</v>
      </c>
      <c r="E35" s="72">
        <v>44717</v>
      </c>
      <c r="F35" s="71" t="s">
        <v>9</v>
      </c>
      <c r="G35" s="71" t="s">
        <v>17</v>
      </c>
      <c r="I35" t="str">
        <v>22S060</v>
      </c>
      <c r="J35" t="str">
        <v>Krishna</v>
      </c>
      <c r="K35">
        <v>23</v>
      </c>
      <c r="L35">
        <v>44753</v>
      </c>
      <c r="M35">
        <v>44805</v>
      </c>
      <c r="N35" t="str">
        <v>JJ Nagar</v>
      </c>
      <c r="O35" t="str">
        <v>Pondicherry</v>
      </c>
    </row>
    <row r="36" spans="1:15">
      <c r="A36" s="77" t="s">
        <v>101</v>
      </c>
      <c r="B36" s="77" t="s">
        <v>102</v>
      </c>
      <c r="C36" s="77">
        <v>20</v>
      </c>
      <c r="D36" s="78">
        <v>44669</v>
      </c>
      <c r="E36" s="78">
        <v>44701</v>
      </c>
      <c r="F36" s="77" t="s">
        <v>92</v>
      </c>
      <c r="G36" s="77" t="s">
        <v>27</v>
      </c>
      <c r="I36" t="str">
        <v>22S062</v>
      </c>
      <c r="J36" t="str">
        <v>Aaryan</v>
      </c>
      <c r="K36">
        <v>24</v>
      </c>
      <c r="L36">
        <v>44760</v>
      </c>
      <c r="M36">
        <v>44793</v>
      </c>
      <c r="N36">
        <v>0</v>
      </c>
      <c r="O36" t="str">
        <v>Pondicherry</v>
      </c>
    </row>
    <row r="37" spans="1:15">
      <c r="A37" s="77" t="s">
        <v>103</v>
      </c>
      <c r="B37" s="77" t="s">
        <v>104</v>
      </c>
      <c r="C37" s="77">
        <v>16</v>
      </c>
      <c r="D37" s="78">
        <v>44669</v>
      </c>
      <c r="E37" s="78">
        <v>44705</v>
      </c>
      <c r="F37" s="77" t="s">
        <v>105</v>
      </c>
      <c r="G37" s="77" t="s">
        <v>27</v>
      </c>
      <c r="I37" t="str">
        <v>22S063</v>
      </c>
      <c r="J37" t="str">
        <v>Dakshn</v>
      </c>
      <c r="K37">
        <v>28</v>
      </c>
      <c r="L37">
        <v>44762</v>
      </c>
      <c r="M37">
        <v>44807</v>
      </c>
      <c r="N37" t="str">
        <v>RK Streen</v>
      </c>
      <c r="O37" t="str">
        <v>Pondicherry</v>
      </c>
    </row>
    <row r="38" spans="1:15">
      <c r="A38" s="73" t="s">
        <v>106</v>
      </c>
      <c r="B38" s="73" t="s">
        <v>107</v>
      </c>
      <c r="C38" s="73">
        <v>25</v>
      </c>
      <c r="D38" s="74">
        <v>44669</v>
      </c>
      <c r="E38" s="74">
        <v>44720</v>
      </c>
      <c r="F38" s="73" t="s">
        <v>82</v>
      </c>
      <c r="G38" s="73" t="s">
        <v>20</v>
      </c>
      <c r="I38" t="str">
        <v>22S064</v>
      </c>
      <c r="J38" t="str">
        <v>Zionn</v>
      </c>
      <c r="K38">
        <v>28</v>
      </c>
      <c r="L38">
        <v>44764</v>
      </c>
      <c r="M38">
        <v>44819</v>
      </c>
      <c r="N38" t="str">
        <v>Periya Kangananguppam</v>
      </c>
      <c r="O38" t="str">
        <v>Pondicherry</v>
      </c>
    </row>
    <row r="39" spans="1:15">
      <c r="A39" s="71" t="s">
        <v>108</v>
      </c>
      <c r="B39" s="71" t="s">
        <v>109</v>
      </c>
      <c r="C39" s="71">
        <v>17</v>
      </c>
      <c r="D39" s="72">
        <v>44672</v>
      </c>
      <c r="E39" s="72">
        <v>44718</v>
      </c>
      <c r="F39" s="71" t="s">
        <v>71</v>
      </c>
      <c r="G39" s="71" t="s">
        <v>17</v>
      </c>
      <c r="I39" t="str">
        <v>22S066</v>
      </c>
      <c r="J39" t="str">
        <v>Priyanshn</v>
      </c>
      <c r="K39">
        <v>23</v>
      </c>
      <c r="L39">
        <v>44773</v>
      </c>
      <c r="M39">
        <v>44804</v>
      </c>
      <c r="N39" t="str">
        <v>JJ Nagar</v>
      </c>
      <c r="O39" t="str">
        <v>Pondicherry</v>
      </c>
    </row>
    <row r="40" spans="1:15">
      <c r="A40" s="75" t="s">
        <v>110</v>
      </c>
      <c r="B40" s="75" t="s">
        <v>111</v>
      </c>
      <c r="C40" s="75">
        <v>18</v>
      </c>
      <c r="D40" s="76">
        <v>44672</v>
      </c>
      <c r="E40" s="76">
        <v>44714</v>
      </c>
      <c r="F40" s="75" t="s">
        <v>63</v>
      </c>
      <c r="G40" s="75" t="s">
        <v>24</v>
      </c>
      <c r="I40" t="str">
        <v>22S071</v>
      </c>
      <c r="J40" t="str">
        <v>Advait</v>
      </c>
      <c r="K40">
        <v>29</v>
      </c>
      <c r="L40">
        <v>44798</v>
      </c>
      <c r="M40">
        <v>44844</v>
      </c>
      <c r="N40" t="str">
        <v>Chinna Pattampakkam</v>
      </c>
      <c r="O40" t="str">
        <v>Pondicherry</v>
      </c>
    </row>
    <row r="41" spans="1:15">
      <c r="A41" s="71" t="s">
        <v>112</v>
      </c>
      <c r="B41" s="71" t="s">
        <v>113</v>
      </c>
      <c r="C41" s="71">
        <v>21</v>
      </c>
      <c r="D41" s="72">
        <v>44672</v>
      </c>
      <c r="E41" s="72">
        <v>44717</v>
      </c>
      <c r="F41" s="71" t="s">
        <v>44</v>
      </c>
      <c r="G41" s="71" t="s">
        <v>17</v>
      </c>
      <c r="I41" t="str">
        <v>22S074</v>
      </c>
      <c r="J41" t="str">
        <v>Shivn</v>
      </c>
      <c r="K41">
        <v>24</v>
      </c>
      <c r="L41">
        <v>44820</v>
      </c>
      <c r="M41">
        <v>44863</v>
      </c>
      <c r="N41" t="str">
        <v>Gundu Uppalavadi</v>
      </c>
      <c r="O41" t="str">
        <v>Pondicherry</v>
      </c>
    </row>
    <row r="42" spans="1:15">
      <c r="A42" s="75" t="s">
        <v>114</v>
      </c>
      <c r="B42" s="75" t="s">
        <v>115</v>
      </c>
      <c r="C42" s="75">
        <v>27</v>
      </c>
      <c r="D42" s="76">
        <v>44683</v>
      </c>
      <c r="E42" s="76">
        <v>44714</v>
      </c>
      <c r="F42" s="75" t="s">
        <v>95</v>
      </c>
      <c r="G42" s="75" t="s">
        <v>24</v>
      </c>
      <c r="I42" t="str">
        <v>22S076</v>
      </c>
      <c r="J42" t="str">
        <v>Farhann</v>
      </c>
      <c r="K42">
        <v>24</v>
      </c>
      <c r="L42">
        <v>44820</v>
      </c>
      <c r="M42">
        <v>44852</v>
      </c>
      <c r="N42" t="str">
        <v>Periya Kangananguppam</v>
      </c>
      <c r="O42" t="str">
        <v>Pondicherry</v>
      </c>
    </row>
    <row r="43" spans="1:15">
      <c r="A43" s="69" t="s">
        <v>116</v>
      </c>
      <c r="B43" s="69" t="s">
        <v>117</v>
      </c>
      <c r="C43" s="69">
        <v>17</v>
      </c>
      <c r="D43" s="70">
        <v>44685</v>
      </c>
      <c r="E43" s="70">
        <v>44724</v>
      </c>
      <c r="F43" s="69" t="s">
        <v>33</v>
      </c>
      <c r="G43" s="69" t="s">
        <v>10</v>
      </c>
      <c r="I43" t="str">
        <v>22S077</v>
      </c>
      <c r="J43" t="str">
        <v>Shivay</v>
      </c>
      <c r="K43">
        <v>27</v>
      </c>
      <c r="L43">
        <v>44830</v>
      </c>
      <c r="M43">
        <v>44880</v>
      </c>
      <c r="N43" t="str">
        <v>Vellapakkam</v>
      </c>
      <c r="O43" t="str">
        <v>Pondicherry</v>
      </c>
    </row>
    <row r="44" spans="1:15">
      <c r="A44" s="75" t="s">
        <v>118</v>
      </c>
      <c r="B44" s="75" t="s">
        <v>119</v>
      </c>
      <c r="C44" s="75">
        <v>27</v>
      </c>
      <c r="D44" s="76">
        <v>44686</v>
      </c>
      <c r="E44" s="76">
        <v>44744</v>
      </c>
      <c r="F44" s="75" t="s">
        <v>9</v>
      </c>
      <c r="G44" s="75" t="s">
        <v>24</v>
      </c>
      <c r="I44" t="str">
        <v>22S096</v>
      </c>
      <c r="J44" t="str">
        <v>Vihaan</v>
      </c>
      <c r="K44">
        <v>27</v>
      </c>
      <c r="L44">
        <v>44894</v>
      </c>
      <c r="M44">
        <v>44925</v>
      </c>
      <c r="N44" t="str">
        <v>O.T</v>
      </c>
      <c r="O44" t="str">
        <v>Pondicherry</v>
      </c>
    </row>
    <row r="45" spans="1:15">
      <c r="A45" s="77" t="s">
        <v>120</v>
      </c>
      <c r="B45" s="77" t="s">
        <v>121</v>
      </c>
      <c r="C45" s="77">
        <v>27</v>
      </c>
      <c r="D45" s="78">
        <v>44687</v>
      </c>
      <c r="E45" s="78">
        <v>44745</v>
      </c>
      <c r="F45" s="77" t="s">
        <v>122</v>
      </c>
      <c r="G45" s="77" t="s">
        <v>27</v>
      </c>
    </row>
    <row r="46" spans="1:15">
      <c r="A46" s="75" t="s">
        <v>123</v>
      </c>
      <c r="B46" s="75" t="s">
        <v>124</v>
      </c>
      <c r="C46" s="75">
        <v>20</v>
      </c>
      <c r="D46" s="76">
        <v>44695</v>
      </c>
      <c r="E46" s="76">
        <v>44736</v>
      </c>
      <c r="F46" s="75" t="s">
        <v>85</v>
      </c>
      <c r="G46" s="75" t="s">
        <v>24</v>
      </c>
      <c r="I46" t="str" cm="1">
        <f t="array" ref="I46:O48">_xlfn._xlws.FILTER(A:G,(((G:G="Panruti")+(G:G="Neyveli"))*(C:C&gt;=30)))</f>
        <v>22S053</v>
      </c>
      <c r="J46" t="str">
        <v>Shaurya</v>
      </c>
      <c r="K46">
        <v>30</v>
      </c>
      <c r="L46">
        <v>44730</v>
      </c>
      <c r="M46">
        <v>44788</v>
      </c>
      <c r="N46" t="str">
        <v>MK Street</v>
      </c>
      <c r="O46" t="str">
        <v>Neyveli</v>
      </c>
    </row>
    <row r="47" spans="1:15">
      <c r="A47" s="75" t="s">
        <v>125</v>
      </c>
      <c r="B47" s="75" t="s">
        <v>126</v>
      </c>
      <c r="C47" s="75">
        <v>28</v>
      </c>
      <c r="D47" s="76">
        <v>44697</v>
      </c>
      <c r="E47" s="76">
        <v>44738</v>
      </c>
      <c r="F47" s="75" t="s">
        <v>47</v>
      </c>
      <c r="G47" s="75" t="s">
        <v>24</v>
      </c>
      <c r="I47" t="str">
        <v>22S057</v>
      </c>
      <c r="J47" t="str">
        <v>Yohann</v>
      </c>
      <c r="K47">
        <v>30</v>
      </c>
      <c r="L47">
        <v>44744</v>
      </c>
      <c r="M47">
        <v>44793</v>
      </c>
      <c r="N47" t="str">
        <v>Saibaba Colony</v>
      </c>
      <c r="O47" t="str">
        <v>Neyveli</v>
      </c>
    </row>
    <row r="48" spans="1:15">
      <c r="A48" s="75" t="s">
        <v>127</v>
      </c>
      <c r="B48" s="75" t="s">
        <v>128</v>
      </c>
      <c r="C48" s="75">
        <v>17</v>
      </c>
      <c r="D48" s="76">
        <v>44698</v>
      </c>
      <c r="E48" s="76">
        <v>44728</v>
      </c>
      <c r="F48" s="75" t="s">
        <v>85</v>
      </c>
      <c r="G48" s="75" t="s">
        <v>24</v>
      </c>
      <c r="I48" t="str">
        <v>22S100</v>
      </c>
      <c r="J48" t="str">
        <v>Ayaan</v>
      </c>
      <c r="K48">
        <v>30</v>
      </c>
      <c r="L48">
        <v>44923</v>
      </c>
      <c r="M48">
        <v>44963</v>
      </c>
      <c r="N48" t="str">
        <v>Purushothaman Street</v>
      </c>
      <c r="O48" t="str">
        <v>Neyveli</v>
      </c>
    </row>
    <row r="49" spans="1:7">
      <c r="A49" s="69" t="s">
        <v>129</v>
      </c>
      <c r="B49" s="69" t="s">
        <v>130</v>
      </c>
      <c r="C49" s="69">
        <v>21</v>
      </c>
      <c r="D49" s="70">
        <v>44699</v>
      </c>
      <c r="E49" s="70">
        <v>44752</v>
      </c>
      <c r="F49" s="69" t="s">
        <v>55</v>
      </c>
      <c r="G49" s="69" t="s">
        <v>10</v>
      </c>
    </row>
    <row r="50" spans="1:7">
      <c r="A50" s="73" t="s">
        <v>131</v>
      </c>
      <c r="B50" s="73" t="s">
        <v>132</v>
      </c>
      <c r="C50" s="73">
        <v>17</v>
      </c>
      <c r="D50" s="74">
        <v>44706</v>
      </c>
      <c r="E50" s="74">
        <v>44763</v>
      </c>
      <c r="F50" s="73" t="s">
        <v>55</v>
      </c>
      <c r="G50" s="73" t="s">
        <v>20</v>
      </c>
    </row>
    <row r="51" spans="1:7">
      <c r="A51" s="71" t="s">
        <v>133</v>
      </c>
      <c r="B51" s="71" t="s">
        <v>134</v>
      </c>
      <c r="C51" s="71">
        <v>20</v>
      </c>
      <c r="D51" s="72">
        <v>44706</v>
      </c>
      <c r="E51" s="72">
        <v>44738</v>
      </c>
      <c r="F51" s="71" t="s">
        <v>55</v>
      </c>
      <c r="G51" s="71" t="s">
        <v>17</v>
      </c>
    </row>
    <row r="52" spans="1:7">
      <c r="A52" s="71" t="s">
        <v>135</v>
      </c>
      <c r="B52" s="71" t="s">
        <v>136</v>
      </c>
      <c r="C52" s="71">
        <v>17</v>
      </c>
      <c r="D52" s="72">
        <v>44709</v>
      </c>
      <c r="E52" s="72">
        <v>44744</v>
      </c>
      <c r="F52" s="71" t="s">
        <v>137</v>
      </c>
      <c r="G52" s="71" t="s">
        <v>17</v>
      </c>
    </row>
    <row r="53" spans="1:7">
      <c r="A53" s="77" t="s">
        <v>138</v>
      </c>
      <c r="B53" s="77" t="s">
        <v>139</v>
      </c>
      <c r="C53" s="77">
        <v>24</v>
      </c>
      <c r="D53" s="78">
        <v>44728</v>
      </c>
      <c r="E53" s="78">
        <v>44783</v>
      </c>
      <c r="F53" s="77" t="s">
        <v>85</v>
      </c>
      <c r="G53" s="77" t="s">
        <v>27</v>
      </c>
    </row>
    <row r="54" spans="1:7">
      <c r="A54" s="77" t="s">
        <v>140</v>
      </c>
      <c r="B54" s="77" t="s">
        <v>141</v>
      </c>
      <c r="C54" s="77">
        <v>30</v>
      </c>
      <c r="D54" s="78">
        <v>44730</v>
      </c>
      <c r="E54" s="78">
        <v>44788</v>
      </c>
      <c r="F54" s="77" t="s">
        <v>68</v>
      </c>
      <c r="G54" s="77" t="s">
        <v>27</v>
      </c>
    </row>
    <row r="55" spans="1:7">
      <c r="A55" s="77" t="s">
        <v>142</v>
      </c>
      <c r="B55" s="77" t="s">
        <v>143</v>
      </c>
      <c r="C55" s="77">
        <v>29</v>
      </c>
      <c r="D55" s="78">
        <v>44735</v>
      </c>
      <c r="E55" s="78">
        <v>44766</v>
      </c>
      <c r="F55" s="77" t="s">
        <v>137</v>
      </c>
      <c r="G55" s="77" t="s">
        <v>27</v>
      </c>
    </row>
    <row r="56" spans="1:7">
      <c r="A56" s="73" t="s">
        <v>144</v>
      </c>
      <c r="B56" s="73" t="s">
        <v>145</v>
      </c>
      <c r="C56" s="73">
        <v>20</v>
      </c>
      <c r="D56" s="74">
        <v>44737</v>
      </c>
      <c r="E56" s="74">
        <v>44790</v>
      </c>
      <c r="F56" s="73" t="s">
        <v>55</v>
      </c>
      <c r="G56" s="73" t="s">
        <v>20</v>
      </c>
    </row>
    <row r="57" spans="1:7">
      <c r="A57" s="77" t="s">
        <v>146</v>
      </c>
      <c r="B57" s="77" t="s">
        <v>147</v>
      </c>
      <c r="C57" s="77">
        <v>29</v>
      </c>
      <c r="D57" s="78">
        <v>44744</v>
      </c>
      <c r="E57" s="78">
        <v>44804</v>
      </c>
      <c r="F57" s="77" t="s">
        <v>71</v>
      </c>
      <c r="G57" s="77" t="s">
        <v>27</v>
      </c>
    </row>
    <row r="58" spans="1:7">
      <c r="A58" s="77" t="s">
        <v>148</v>
      </c>
      <c r="B58" s="77" t="s">
        <v>149</v>
      </c>
      <c r="C58" s="77">
        <v>30</v>
      </c>
      <c r="D58" s="78">
        <v>44744</v>
      </c>
      <c r="E58" s="78">
        <v>44793</v>
      </c>
      <c r="F58" s="77" t="s">
        <v>50</v>
      </c>
      <c r="G58" s="77" t="s">
        <v>27</v>
      </c>
    </row>
    <row r="59" spans="1:7">
      <c r="A59" s="69" t="s">
        <v>150</v>
      </c>
      <c r="B59" s="69" t="s">
        <v>151</v>
      </c>
      <c r="C59" s="69">
        <v>16</v>
      </c>
      <c r="D59" s="70">
        <v>44747</v>
      </c>
      <c r="E59" s="70">
        <v>44798</v>
      </c>
      <c r="F59" s="69" t="s">
        <v>44</v>
      </c>
      <c r="G59" s="69" t="s">
        <v>10</v>
      </c>
    </row>
    <row r="60" spans="1:7">
      <c r="A60" s="71" t="s">
        <v>152</v>
      </c>
      <c r="B60" s="71" t="s">
        <v>153</v>
      </c>
      <c r="C60" s="71"/>
      <c r="D60" s="72">
        <v>44751</v>
      </c>
      <c r="E60" s="72">
        <v>44794</v>
      </c>
      <c r="F60" s="71" t="s">
        <v>154</v>
      </c>
      <c r="G60" s="71" t="s">
        <v>17</v>
      </c>
    </row>
    <row r="61" spans="1:7">
      <c r="A61" s="71" t="s">
        <v>155</v>
      </c>
      <c r="B61" s="71" t="s">
        <v>156</v>
      </c>
      <c r="C61" s="71">
        <v>23</v>
      </c>
      <c r="D61" s="72">
        <v>44753</v>
      </c>
      <c r="E61" s="72">
        <v>44805</v>
      </c>
      <c r="F61" s="71" t="s">
        <v>58</v>
      </c>
      <c r="G61" s="71" t="s">
        <v>17</v>
      </c>
    </row>
    <row r="62" spans="1:7">
      <c r="A62" s="71" t="s">
        <v>157</v>
      </c>
      <c r="B62" s="71" t="s">
        <v>158</v>
      </c>
      <c r="C62" s="71">
        <v>18</v>
      </c>
      <c r="D62" s="72">
        <v>44755</v>
      </c>
      <c r="E62" s="72">
        <v>44791</v>
      </c>
      <c r="F62" s="71" t="s">
        <v>68</v>
      </c>
      <c r="G62" s="71" t="s">
        <v>17</v>
      </c>
    </row>
    <row r="63" spans="1:7">
      <c r="A63" s="71" t="s">
        <v>159</v>
      </c>
      <c r="B63" s="71" t="s">
        <v>160</v>
      </c>
      <c r="C63" s="71">
        <v>24</v>
      </c>
      <c r="D63" s="72">
        <v>44760</v>
      </c>
      <c r="E63" s="72">
        <v>44793</v>
      </c>
      <c r="F63" s="71"/>
      <c r="G63" s="71" t="s">
        <v>17</v>
      </c>
    </row>
    <row r="64" spans="1:7">
      <c r="A64" s="71" t="s">
        <v>161</v>
      </c>
      <c r="B64" s="71" t="s">
        <v>162</v>
      </c>
      <c r="C64" s="71">
        <v>28</v>
      </c>
      <c r="D64" s="72">
        <v>44762</v>
      </c>
      <c r="E64" s="72">
        <v>44807</v>
      </c>
      <c r="F64" s="71" t="s">
        <v>47</v>
      </c>
      <c r="G64" s="71" t="s">
        <v>17</v>
      </c>
    </row>
    <row r="65" spans="1:7">
      <c r="A65" s="71" t="s">
        <v>163</v>
      </c>
      <c r="B65" s="71" t="s">
        <v>164</v>
      </c>
      <c r="C65" s="71">
        <v>28</v>
      </c>
      <c r="D65" s="72">
        <v>44764</v>
      </c>
      <c r="E65" s="72">
        <v>44819</v>
      </c>
      <c r="F65" s="71" t="s">
        <v>154</v>
      </c>
      <c r="G65" s="71" t="s">
        <v>17</v>
      </c>
    </row>
    <row r="66" spans="1:7">
      <c r="A66" s="69" t="s">
        <v>165</v>
      </c>
      <c r="B66" s="69" t="s">
        <v>166</v>
      </c>
      <c r="C66" s="69">
        <v>17</v>
      </c>
      <c r="D66" s="70">
        <v>44768</v>
      </c>
      <c r="E66" s="70">
        <v>44826</v>
      </c>
      <c r="F66" s="69" t="s">
        <v>137</v>
      </c>
      <c r="G66" s="69" t="s">
        <v>10</v>
      </c>
    </row>
    <row r="67" spans="1:7">
      <c r="A67" s="71" t="s">
        <v>167</v>
      </c>
      <c r="B67" s="71" t="s">
        <v>168</v>
      </c>
      <c r="C67" s="71">
        <v>23</v>
      </c>
      <c r="D67" s="72">
        <v>44773</v>
      </c>
      <c r="E67" s="72">
        <v>44804</v>
      </c>
      <c r="F67" s="71" t="s">
        <v>58</v>
      </c>
      <c r="G67" s="71" t="s">
        <v>17</v>
      </c>
    </row>
    <row r="68" spans="1:7">
      <c r="A68" s="69" t="s">
        <v>169</v>
      </c>
      <c r="B68" s="69" t="s">
        <v>170</v>
      </c>
      <c r="C68" s="69">
        <v>25</v>
      </c>
      <c r="D68" s="70">
        <v>44787</v>
      </c>
      <c r="E68" s="70">
        <v>44837</v>
      </c>
      <c r="F68" s="69" t="s">
        <v>105</v>
      </c>
      <c r="G68" s="69" t="s">
        <v>10</v>
      </c>
    </row>
    <row r="69" spans="1:7">
      <c r="A69" s="75" t="s">
        <v>171</v>
      </c>
      <c r="B69" s="75" t="s">
        <v>172</v>
      </c>
      <c r="C69" s="75">
        <v>24</v>
      </c>
      <c r="D69" s="76">
        <v>44788</v>
      </c>
      <c r="E69" s="76">
        <v>44847</v>
      </c>
      <c r="F69" s="75" t="s">
        <v>173</v>
      </c>
      <c r="G69" s="75" t="s">
        <v>24</v>
      </c>
    </row>
    <row r="70" spans="1:7">
      <c r="A70" s="75" t="s">
        <v>174</v>
      </c>
      <c r="B70" s="75" t="s">
        <v>175</v>
      </c>
      <c r="C70" s="75">
        <v>28</v>
      </c>
      <c r="D70" s="76">
        <v>44790</v>
      </c>
      <c r="E70" s="76">
        <v>44840</v>
      </c>
      <c r="F70" s="75" t="s">
        <v>36</v>
      </c>
      <c r="G70" s="75" t="s">
        <v>24</v>
      </c>
    </row>
    <row r="71" spans="1:7">
      <c r="A71" s="77" t="s">
        <v>176</v>
      </c>
      <c r="B71" s="77" t="s">
        <v>177</v>
      </c>
      <c r="C71" s="77">
        <v>28</v>
      </c>
      <c r="D71" s="78">
        <v>44797</v>
      </c>
      <c r="E71" s="78">
        <v>44831</v>
      </c>
      <c r="F71" s="77" t="s">
        <v>58</v>
      </c>
      <c r="G71" s="77" t="s">
        <v>27</v>
      </c>
    </row>
    <row r="72" spans="1:7">
      <c r="A72" s="71" t="s">
        <v>178</v>
      </c>
      <c r="B72" s="71" t="s">
        <v>179</v>
      </c>
      <c r="C72" s="71">
        <v>29</v>
      </c>
      <c r="D72" s="72">
        <v>44798</v>
      </c>
      <c r="E72" s="72">
        <v>44844</v>
      </c>
      <c r="F72" s="71" t="s">
        <v>95</v>
      </c>
      <c r="G72" s="71" t="s">
        <v>17</v>
      </c>
    </row>
    <row r="73" spans="1:7">
      <c r="A73" s="77" t="s">
        <v>180</v>
      </c>
      <c r="B73" s="77" t="s">
        <v>181</v>
      </c>
      <c r="C73" s="77">
        <v>27</v>
      </c>
      <c r="D73" s="78">
        <v>44807</v>
      </c>
      <c r="E73" s="78">
        <v>44854</v>
      </c>
      <c r="F73" s="77" t="s">
        <v>50</v>
      </c>
      <c r="G73" s="77" t="s">
        <v>27</v>
      </c>
    </row>
    <row r="74" spans="1:7">
      <c r="A74" s="77" t="s">
        <v>182</v>
      </c>
      <c r="B74" s="77" t="s">
        <v>183</v>
      </c>
      <c r="C74" s="77">
        <v>21</v>
      </c>
      <c r="D74" s="78">
        <v>44812</v>
      </c>
      <c r="E74" s="78">
        <v>44872</v>
      </c>
      <c r="F74" s="77" t="s">
        <v>33</v>
      </c>
      <c r="G74" s="77" t="s">
        <v>27</v>
      </c>
    </row>
    <row r="75" spans="1:7">
      <c r="A75" s="71" t="s">
        <v>184</v>
      </c>
      <c r="B75" s="71" t="s">
        <v>185</v>
      </c>
      <c r="C75" s="71">
        <v>24</v>
      </c>
      <c r="D75" s="72">
        <v>44820</v>
      </c>
      <c r="E75" s="72">
        <v>44863</v>
      </c>
      <c r="F75" s="71" t="s">
        <v>186</v>
      </c>
      <c r="G75" s="71" t="s">
        <v>17</v>
      </c>
    </row>
    <row r="76" spans="1:7">
      <c r="A76" s="75" t="s">
        <v>187</v>
      </c>
      <c r="B76" s="75" t="s">
        <v>188</v>
      </c>
      <c r="C76" s="75">
        <v>21</v>
      </c>
      <c r="D76" s="76">
        <v>44820</v>
      </c>
      <c r="E76" s="76">
        <v>44861</v>
      </c>
      <c r="F76" s="75" t="s">
        <v>58</v>
      </c>
      <c r="G76" s="75" t="s">
        <v>24</v>
      </c>
    </row>
    <row r="77" spans="1:7">
      <c r="A77" s="71" t="s">
        <v>189</v>
      </c>
      <c r="B77" s="71" t="s">
        <v>190</v>
      </c>
      <c r="C77" s="71">
        <v>24</v>
      </c>
      <c r="D77" s="72">
        <v>44820</v>
      </c>
      <c r="E77" s="72">
        <v>44852</v>
      </c>
      <c r="F77" s="71" t="s">
        <v>154</v>
      </c>
      <c r="G77" s="71" t="s">
        <v>17</v>
      </c>
    </row>
    <row r="78" spans="1:7">
      <c r="A78" s="71" t="s">
        <v>191</v>
      </c>
      <c r="B78" s="71" t="s">
        <v>192</v>
      </c>
      <c r="C78" s="71">
        <v>27</v>
      </c>
      <c r="D78" s="72">
        <v>44830</v>
      </c>
      <c r="E78" s="72">
        <v>44880</v>
      </c>
      <c r="F78" s="71" t="s">
        <v>55</v>
      </c>
      <c r="G78" s="71" t="s">
        <v>17</v>
      </c>
    </row>
    <row r="79" spans="1:7">
      <c r="A79" s="77" t="s">
        <v>193</v>
      </c>
      <c r="B79" s="77" t="s">
        <v>194</v>
      </c>
      <c r="C79" s="77">
        <v>23</v>
      </c>
      <c r="D79" s="78">
        <v>44833</v>
      </c>
      <c r="E79" s="78">
        <v>44888</v>
      </c>
      <c r="F79" s="77" t="s">
        <v>36</v>
      </c>
      <c r="G79" s="77" t="s">
        <v>27</v>
      </c>
    </row>
    <row r="80" spans="1:7">
      <c r="A80" s="73" t="s">
        <v>195</v>
      </c>
      <c r="B80" s="73" t="s">
        <v>196</v>
      </c>
      <c r="C80" s="73">
        <v>20</v>
      </c>
      <c r="D80" s="74">
        <v>44833</v>
      </c>
      <c r="E80" s="74">
        <v>44864</v>
      </c>
      <c r="F80" s="73" t="s">
        <v>105</v>
      </c>
      <c r="G80" s="73" t="s">
        <v>20</v>
      </c>
    </row>
    <row r="81" spans="1:7">
      <c r="A81" s="77" t="s">
        <v>197</v>
      </c>
      <c r="B81" s="77" t="s">
        <v>198</v>
      </c>
      <c r="C81" s="77">
        <v>21</v>
      </c>
      <c r="D81" s="78">
        <v>44838</v>
      </c>
      <c r="E81" s="78">
        <v>44888</v>
      </c>
      <c r="F81" s="77" t="s">
        <v>39</v>
      </c>
      <c r="G81" s="77" t="s">
        <v>27</v>
      </c>
    </row>
    <row r="82" spans="1:7">
      <c r="A82" s="69" t="s">
        <v>199</v>
      </c>
      <c r="B82" s="69" t="s">
        <v>200</v>
      </c>
      <c r="C82" s="69">
        <v>26</v>
      </c>
      <c r="D82" s="70">
        <v>44842</v>
      </c>
      <c r="E82" s="70">
        <v>44890</v>
      </c>
      <c r="F82" s="69" t="s">
        <v>33</v>
      </c>
      <c r="G82" s="69" t="s">
        <v>10</v>
      </c>
    </row>
    <row r="83" spans="1:7">
      <c r="A83" s="77" t="s">
        <v>201</v>
      </c>
      <c r="B83" s="77" t="s">
        <v>202</v>
      </c>
      <c r="C83" s="77">
        <v>21</v>
      </c>
      <c r="D83" s="78">
        <v>44842</v>
      </c>
      <c r="E83" s="78">
        <v>44879</v>
      </c>
      <c r="F83" s="77" t="s">
        <v>30</v>
      </c>
      <c r="G83" s="77" t="s">
        <v>27</v>
      </c>
    </row>
    <row r="84" spans="1:7">
      <c r="A84" s="75" t="s">
        <v>203</v>
      </c>
      <c r="B84" s="75" t="s">
        <v>204</v>
      </c>
      <c r="C84" s="75">
        <v>25</v>
      </c>
      <c r="D84" s="76">
        <v>44853</v>
      </c>
      <c r="E84" s="76">
        <v>44886</v>
      </c>
      <c r="F84" s="75" t="s">
        <v>205</v>
      </c>
      <c r="G84" s="75" t="s">
        <v>24</v>
      </c>
    </row>
    <row r="85" spans="1:7">
      <c r="A85" s="77" t="s">
        <v>206</v>
      </c>
      <c r="B85" s="77" t="s">
        <v>207</v>
      </c>
      <c r="C85" s="77">
        <v>16</v>
      </c>
      <c r="D85" s="78">
        <v>44854</v>
      </c>
      <c r="E85" s="78">
        <v>44890</v>
      </c>
      <c r="F85" s="77" t="s">
        <v>39</v>
      </c>
      <c r="G85" s="77" t="s">
        <v>27</v>
      </c>
    </row>
    <row r="86" spans="1:7">
      <c r="A86" s="75" t="s">
        <v>208</v>
      </c>
      <c r="B86" s="75" t="s">
        <v>209</v>
      </c>
      <c r="C86" s="75">
        <v>19</v>
      </c>
      <c r="D86" s="76">
        <v>44861</v>
      </c>
      <c r="E86" s="76">
        <v>44891</v>
      </c>
      <c r="F86" s="75" t="s">
        <v>122</v>
      </c>
      <c r="G86" s="75" t="s">
        <v>24</v>
      </c>
    </row>
    <row r="87" spans="1:7">
      <c r="A87" s="73" t="s">
        <v>210</v>
      </c>
      <c r="B87" s="73" t="s">
        <v>211</v>
      </c>
      <c r="C87" s="73">
        <v>28</v>
      </c>
      <c r="D87" s="74">
        <v>44864</v>
      </c>
      <c r="E87" s="74">
        <v>44901</v>
      </c>
      <c r="F87" s="73" t="s">
        <v>30</v>
      </c>
      <c r="G87" s="73" t="s">
        <v>20</v>
      </c>
    </row>
    <row r="88" spans="1:7">
      <c r="A88" s="69" t="s">
        <v>212</v>
      </c>
      <c r="B88" s="69" t="s">
        <v>213</v>
      </c>
      <c r="C88" s="69">
        <v>23</v>
      </c>
      <c r="D88" s="70">
        <v>44865</v>
      </c>
      <c r="E88" s="70">
        <v>44922</v>
      </c>
      <c r="F88" s="69" t="s">
        <v>186</v>
      </c>
      <c r="G88" s="69" t="s">
        <v>10</v>
      </c>
    </row>
    <row r="89" spans="1:7">
      <c r="A89" s="69" t="s">
        <v>214</v>
      </c>
      <c r="B89" s="69" t="s">
        <v>215</v>
      </c>
      <c r="C89" s="69">
        <v>29</v>
      </c>
      <c r="D89" s="70">
        <v>44866</v>
      </c>
      <c r="E89" s="70">
        <v>44901</v>
      </c>
      <c r="F89" s="69" t="s">
        <v>105</v>
      </c>
      <c r="G89" s="69" t="s">
        <v>10</v>
      </c>
    </row>
    <row r="90" spans="1:7">
      <c r="A90" s="69" t="s">
        <v>216</v>
      </c>
      <c r="B90" s="69" t="s">
        <v>217</v>
      </c>
      <c r="C90" s="69">
        <v>27</v>
      </c>
      <c r="D90" s="70">
        <v>44868</v>
      </c>
      <c r="E90" s="70">
        <v>44917</v>
      </c>
      <c r="F90" s="69" t="s">
        <v>30</v>
      </c>
      <c r="G90" s="69" t="s">
        <v>10</v>
      </c>
    </row>
    <row r="91" spans="1:7">
      <c r="A91" s="73" t="s">
        <v>218</v>
      </c>
      <c r="B91" s="73" t="s">
        <v>219</v>
      </c>
      <c r="C91" s="73"/>
      <c r="D91" s="74">
        <v>44868</v>
      </c>
      <c r="E91" s="74">
        <v>44902</v>
      </c>
      <c r="F91" s="73" t="s">
        <v>82</v>
      </c>
      <c r="G91" s="73" t="s">
        <v>20</v>
      </c>
    </row>
    <row r="92" spans="1:7">
      <c r="A92" s="71" t="s">
        <v>220</v>
      </c>
      <c r="B92" s="71" t="s">
        <v>221</v>
      </c>
      <c r="C92" s="71">
        <v>20</v>
      </c>
      <c r="D92" s="72">
        <v>44873</v>
      </c>
      <c r="E92" s="72">
        <v>44906</v>
      </c>
      <c r="F92" s="71" t="s">
        <v>154</v>
      </c>
      <c r="G92" s="71" t="s">
        <v>17</v>
      </c>
    </row>
    <row r="93" spans="1:7">
      <c r="A93" s="69" t="s">
        <v>222</v>
      </c>
      <c r="B93" s="69" t="s">
        <v>223</v>
      </c>
      <c r="C93" s="69">
        <v>23</v>
      </c>
      <c r="D93" s="70">
        <v>44883</v>
      </c>
      <c r="E93" s="70">
        <v>44918</v>
      </c>
      <c r="F93" s="69" t="s">
        <v>95</v>
      </c>
      <c r="G93" s="69" t="s">
        <v>10</v>
      </c>
    </row>
    <row r="94" spans="1:7">
      <c r="A94" s="75" t="s">
        <v>224</v>
      </c>
      <c r="B94" s="75" t="s">
        <v>225</v>
      </c>
      <c r="C94" s="75">
        <v>27</v>
      </c>
      <c r="D94" s="76">
        <v>44886</v>
      </c>
      <c r="E94" s="76">
        <v>44924</v>
      </c>
      <c r="F94" s="75" t="s">
        <v>205</v>
      </c>
      <c r="G94" s="75" t="s">
        <v>24</v>
      </c>
    </row>
    <row r="95" spans="1:7">
      <c r="A95" s="77" t="s">
        <v>226</v>
      </c>
      <c r="B95" s="77" t="s">
        <v>227</v>
      </c>
      <c r="C95" s="77">
        <v>17</v>
      </c>
      <c r="D95" s="78">
        <v>44893</v>
      </c>
      <c r="E95" s="78">
        <v>44944</v>
      </c>
      <c r="F95" s="77" t="s">
        <v>92</v>
      </c>
      <c r="G95" s="77" t="s">
        <v>27</v>
      </c>
    </row>
    <row r="96" spans="1:7">
      <c r="A96" s="75" t="s">
        <v>228</v>
      </c>
      <c r="B96" s="75" t="s">
        <v>229</v>
      </c>
      <c r="C96" s="75">
        <v>30</v>
      </c>
      <c r="D96" s="76">
        <v>44894</v>
      </c>
      <c r="E96" s="76">
        <v>44947</v>
      </c>
      <c r="F96" s="75" t="s">
        <v>47</v>
      </c>
      <c r="G96" s="75" t="s">
        <v>24</v>
      </c>
    </row>
    <row r="97" spans="1:7">
      <c r="A97" s="71" t="s">
        <v>230</v>
      </c>
      <c r="B97" s="71" t="s">
        <v>231</v>
      </c>
      <c r="C97" s="71">
        <v>27</v>
      </c>
      <c r="D97" s="72">
        <v>44894</v>
      </c>
      <c r="E97" s="72">
        <v>44925</v>
      </c>
      <c r="F97" s="71" t="s">
        <v>82</v>
      </c>
      <c r="G97" s="71" t="s">
        <v>17</v>
      </c>
    </row>
    <row r="98" spans="1:7">
      <c r="A98" s="71" t="s">
        <v>232</v>
      </c>
      <c r="B98" s="71" t="s">
        <v>233</v>
      </c>
      <c r="C98" s="71">
        <v>19</v>
      </c>
      <c r="D98" s="72">
        <v>44895</v>
      </c>
      <c r="E98" s="72">
        <v>44946</v>
      </c>
      <c r="F98" s="71" t="s">
        <v>85</v>
      </c>
      <c r="G98" s="71" t="s">
        <v>17</v>
      </c>
    </row>
    <row r="99" spans="1:7">
      <c r="A99" s="69" t="s">
        <v>234</v>
      </c>
      <c r="B99" s="69" t="s">
        <v>235</v>
      </c>
      <c r="C99" s="69">
        <v>25</v>
      </c>
      <c r="D99" s="70">
        <v>44906</v>
      </c>
      <c r="E99" s="70">
        <v>44950</v>
      </c>
      <c r="F99" s="69" t="s">
        <v>92</v>
      </c>
      <c r="G99" s="69" t="s">
        <v>10</v>
      </c>
    </row>
    <row r="100" spans="1:7">
      <c r="A100" s="73" t="s">
        <v>236</v>
      </c>
      <c r="B100" s="73" t="s">
        <v>237</v>
      </c>
      <c r="C100" s="73">
        <v>18</v>
      </c>
      <c r="D100" s="74">
        <v>44908</v>
      </c>
      <c r="E100" s="74">
        <v>44956</v>
      </c>
      <c r="F100" s="73" t="s">
        <v>238</v>
      </c>
      <c r="G100" s="73" t="s">
        <v>20</v>
      </c>
    </row>
    <row r="101" spans="1:7">
      <c r="A101" s="77" t="s">
        <v>239</v>
      </c>
      <c r="B101" s="77" t="s">
        <v>240</v>
      </c>
      <c r="C101" s="77">
        <v>30</v>
      </c>
      <c r="D101" s="78">
        <v>44923</v>
      </c>
      <c r="E101" s="78">
        <v>44963</v>
      </c>
      <c r="F101" s="77" t="s">
        <v>85</v>
      </c>
      <c r="G101" s="77" t="s">
        <v>27</v>
      </c>
    </row>
  </sheetData>
  <autoFilter xmlns:etc="http://www.wps.cn/officeDocument/2017/etCustomData" ref="A1:G101" etc:filterBottomFollowUsedRange="0">
    <sortState ref="A1:G101">
      <sortCondition ref="G1:G101" sortBy="cellColor" dxfId="0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opLeftCell="A6" workbookViewId="0">
      <selection activeCell="K45" sqref="K45"/>
    </sheetView>
  </sheetViews>
  <sheetFormatPr defaultColWidth="9" defaultRowHeight="14" outlineLevelCol="7"/>
  <cols>
    <col min="1" max="1" width="12.9083333333333" customWidth="1"/>
    <col min="3" max="3" width="12.725" customWidth="1"/>
    <col min="8" max="8" width="17" customWidth="1"/>
  </cols>
  <sheetData>
    <row r="1" spans="1:5">
      <c r="A1" s="20" t="s">
        <v>241</v>
      </c>
    </row>
    <row r="2" spans="1:5">
      <c r="A2" s="19" t="s">
        <v>242</v>
      </c>
      <c r="B2" s="20" t="s">
        <v>243</v>
      </c>
      <c r="D2" t="s">
        <v>244</v>
      </c>
    </row>
    <row r="3" spans="1:5">
      <c r="A3" s="19" t="s">
        <v>245</v>
      </c>
      <c r="B3" s="20" t="s">
        <v>246</v>
      </c>
    </row>
    <row r="4" spans="1:5">
      <c r="A4" s="19" t="s">
        <v>247</v>
      </c>
      <c r="B4" s="20" t="s">
        <v>248</v>
      </c>
    </row>
    <row r="5" spans="1:5">
      <c r="A5" s="19" t="s">
        <v>249</v>
      </c>
      <c r="B5" s="20" t="s">
        <v>250</v>
      </c>
    </row>
    <row r="6" spans="1:5">
      <c r="A6" s="19"/>
      <c r="B6" s="20"/>
    </row>
    <row r="7" spans="1:5">
      <c r="A7" s="19" t="s">
        <v>251</v>
      </c>
      <c r="B7" s="20"/>
    </row>
    <row r="8" spans="1:5">
      <c r="A8" s="20" t="s">
        <v>0</v>
      </c>
      <c r="B8" s="20" t="s">
        <v>252</v>
      </c>
      <c r="C8" s="20" t="s">
        <v>253</v>
      </c>
      <c r="D8" s="20" t="s">
        <v>254</v>
      </c>
      <c r="E8" s="20" t="s">
        <v>255</v>
      </c>
    </row>
    <row r="9" spans="1:5">
      <c r="A9" t="s">
        <v>18</v>
      </c>
      <c r="B9" t="str">
        <f>VLOOKUP(A9,rawdata!A:B,2,0)</f>
        <v>Zohaann</v>
      </c>
      <c r="C9" t="str">
        <f>VLOOKUP(A9,rawdata!A$2:G$101,7,0)</f>
        <v>Panruti</v>
      </c>
      <c r="D9">
        <f>VLOOKUP(A9,rawdata!$A$2:$G$101,3,0)</f>
        <v>19</v>
      </c>
      <c r="E9" t="str">
        <f>VLOOKUP(A9,rawdata!A2:B101,2,0)</f>
        <v>Zohaann</v>
      </c>
    </row>
    <row r="10" spans="1:5">
      <c r="A10" t="s">
        <v>34</v>
      </c>
      <c r="B10" t="str">
        <f>VLOOKUP(A10,rawdata!A:B,2,0)</f>
        <v>Aditya</v>
      </c>
      <c r="C10" t="str">
        <f>VLOOKUP(A10,rawdata!A$2:G$101,7,0)</f>
        <v>Panruti</v>
      </c>
      <c r="D10">
        <f>VLOOKUP(A10,rawdata!$A$2:$G$101,3,0)</f>
        <v>18</v>
      </c>
      <c r="E10" t="str">
        <f>VLOOKUP(A10,rawdata!A3:B102,2,0)</f>
        <v>Aditya</v>
      </c>
    </row>
    <row r="11" spans="1:5">
      <c r="A11" t="s">
        <v>48</v>
      </c>
      <c r="B11" t="str">
        <f>VLOOKUP(A11,rawdata!A:B,2,0)</f>
        <v>Rudra</v>
      </c>
      <c r="C11" t="str">
        <f>VLOOKUP(A11,rawdata!A$2:G$101,7,0)</f>
        <v>Panruti</v>
      </c>
      <c r="D11">
        <f>VLOOKUP(A11,rawdata!$A$2:$G$101,3,0)</f>
        <v>26</v>
      </c>
      <c r="E11" t="str">
        <f>VLOOKUP(A11,rawdata!A4:B103,2,0)</f>
        <v>Rudra</v>
      </c>
    </row>
    <row r="12" spans="1:5">
      <c r="A12" t="s">
        <v>53</v>
      </c>
      <c r="B12" t="str">
        <f>VLOOKUP(A12,rawdata!A:B,2,0)</f>
        <v>Shlok</v>
      </c>
      <c r="C12" t="str">
        <f>VLOOKUP(A12,rawdata!A$2:G$101,7,0)</f>
        <v>Panruti</v>
      </c>
      <c r="D12">
        <f>VLOOKUP(A12,rawdata!$A$2:$G$101,3,0)</f>
        <v>25</v>
      </c>
      <c r="E12" t="str">
        <f>VLOOKUP(A12,rawdata!A5:B104,2,0)</f>
        <v>Shlok</v>
      </c>
    </row>
    <row r="13" spans="1:5">
      <c r="A13" t="s">
        <v>59</v>
      </c>
      <c r="B13" t="str">
        <f>VLOOKUP(A13,rawdata!A:B,2,0)</f>
        <v>Arjun</v>
      </c>
      <c r="C13" t="str">
        <f>VLOOKUP(A13,rawdata!A$2:G$101,7,0)</f>
        <v>Panruti</v>
      </c>
      <c r="D13">
        <f>VLOOKUP(A13,rawdata!$A$2:$G$101,3,0)</f>
        <v>16</v>
      </c>
      <c r="E13" t="str">
        <f>VLOOKUP(A13,rawdata!A6:B105,2,0)</f>
        <v>Arjun</v>
      </c>
    </row>
    <row r="14" spans="1:5">
      <c r="A14" t="s">
        <v>80</v>
      </c>
      <c r="B14" t="str">
        <f>VLOOKUP(A14,rawdata!A:B,2,0)</f>
        <v>Mokshn</v>
      </c>
      <c r="C14" t="str">
        <f>VLOOKUP(A14,rawdata!A$2:G$101,7,0)</f>
        <v>Panruti</v>
      </c>
      <c r="D14">
        <f>VLOOKUP(A14,rawdata!$A$2:$G$101,3,0)</f>
        <v>19</v>
      </c>
      <c r="E14" t="str">
        <f>VLOOKUP(A14,rawdata!A7:B106,2,0)</f>
        <v>Mokshn</v>
      </c>
    </row>
    <row r="15" spans="1:5">
      <c r="A15" t="s">
        <v>7</v>
      </c>
      <c r="D15">
        <f>VLOOKUP(A15,rawdata!$A$2:$G$101,3,0)</f>
        <v>17</v>
      </c>
      <c r="E15" t="e">
        <f>VLOOKUP(A15,rawdata!A8:B107,2,0)</f>
        <v>#N/A</v>
      </c>
    </row>
    <row r="16" spans="1:5">
      <c r="A16" s="19" t="s">
        <v>245</v>
      </c>
    </row>
    <row r="17" spans="1:8">
      <c r="A17" s="19" t="str" cm="1">
        <f t="array" ref="A17:H23">TRANSPOSE(rawdata!A1:G8)</f>
        <v>ID</v>
      </c>
      <c r="B17" t="str">
        <v>22S001</v>
      </c>
      <c r="C17" t="str">
        <v>22S002</v>
      </c>
      <c r="D17" t="str">
        <v>22S003</v>
      </c>
      <c r="E17" t="str">
        <v>22S004</v>
      </c>
      <c r="F17" t="str">
        <v>22S005</v>
      </c>
      <c r="G17" t="str">
        <v>22S006</v>
      </c>
      <c r="H17" t="str">
        <v>22S007</v>
      </c>
    </row>
    <row r="18" spans="1:8">
      <c r="A18" s="19" t="str">
        <v>NAME</v>
      </c>
      <c r="B18" t="str">
        <v>Rian</v>
      </c>
      <c r="C18" t="str">
        <v>Shreshthn</v>
      </c>
      <c r="D18" t="str">
        <v>Aymann</v>
      </c>
      <c r="E18" t="str">
        <v>Zohaann</v>
      </c>
      <c r="F18" t="str">
        <v>Lakshann</v>
      </c>
      <c r="G18" t="str">
        <v>Pranitn</v>
      </c>
      <c r="H18" t="str">
        <v>Madhavn</v>
      </c>
    </row>
    <row r="19" spans="1:8">
      <c r="A19" s="19" t="str">
        <v>AGE</v>
      </c>
      <c r="B19">
        <v>17</v>
      </c>
      <c r="C19">
        <v>21</v>
      </c>
      <c r="D19">
        <v>30</v>
      </c>
      <c r="E19">
        <v>19</v>
      </c>
      <c r="F19">
        <v>18</v>
      </c>
      <c r="G19">
        <v>27</v>
      </c>
      <c r="H19">
        <v>23</v>
      </c>
    </row>
    <row r="20" spans="1:8">
      <c r="A20" s="19" t="str">
        <v>JOINED</v>
      </c>
      <c r="B20">
        <v>44563</v>
      </c>
      <c r="C20">
        <v>44570</v>
      </c>
      <c r="D20">
        <v>44576</v>
      </c>
      <c r="E20">
        <v>44577</v>
      </c>
      <c r="F20">
        <v>44578</v>
      </c>
      <c r="G20">
        <v>44578</v>
      </c>
      <c r="H20">
        <v>44585</v>
      </c>
    </row>
    <row r="21" spans="1:8">
      <c r="A21" s="19" t="str">
        <v>COMPLETED</v>
      </c>
      <c r="B21">
        <v>44593</v>
      </c>
      <c r="C21">
        <v>44612</v>
      </c>
      <c r="D21">
        <v>44628</v>
      </c>
      <c r="E21">
        <v>44613</v>
      </c>
      <c r="F21">
        <v>44612</v>
      </c>
      <c r="G21">
        <v>44629</v>
      </c>
      <c r="H21">
        <v>44639</v>
      </c>
    </row>
    <row r="22" spans="1:8">
      <c r="A22" s="19" t="str">
        <v>AREA</v>
      </c>
      <c r="B22" t="str">
        <v>Beach Road</v>
      </c>
      <c r="C22" t="str">
        <v>Keeranathan</v>
      </c>
      <c r="D22" t="str">
        <v>Ratchagar Nager</v>
      </c>
      <c r="E22" t="str">
        <v>Beach Road</v>
      </c>
      <c r="F22" t="str">
        <v>Vanniyar Palayam</v>
      </c>
      <c r="G22" t="str">
        <v>Keeranathan</v>
      </c>
      <c r="H22" t="str">
        <v>Varakalpattu</v>
      </c>
    </row>
    <row r="23" spans="1:8">
      <c r="A23" s="19" t="str">
        <v>CITY</v>
      </c>
      <c r="B23" t="str">
        <v>Chidambaram</v>
      </c>
      <c r="C23" t="str">
        <v>Chidambaram</v>
      </c>
      <c r="D23" t="str">
        <v>Pondicherry</v>
      </c>
      <c r="E23" t="str">
        <v>Panruti</v>
      </c>
      <c r="F23" t="str">
        <v>Cuddalore</v>
      </c>
      <c r="G23" t="str">
        <v>Neyveli</v>
      </c>
      <c r="H23" t="str">
        <v>Cuddalore</v>
      </c>
    </row>
    <row r="25" spans="1:8">
      <c r="A25" s="20" t="s">
        <v>0</v>
      </c>
      <c r="B25" s="20" t="s">
        <v>252</v>
      </c>
      <c r="C25" s="20" t="s">
        <v>253</v>
      </c>
    </row>
    <row r="26" spans="1:8">
      <c r="A26" t="s">
        <v>18</v>
      </c>
      <c r="B26" t="str">
        <f>HLOOKUP(A26,_xlfn.ANCHORARRAY(A$17),2,0)</f>
        <v>Zohaann</v>
      </c>
      <c r="C26" t="str">
        <f>HLOOKUP(A26,_xlfn.ANCHORARRAY(A$17),7,0)</f>
        <v>Panruti</v>
      </c>
    </row>
    <row r="27" spans="1:8">
      <c r="A27" t="s">
        <v>34</v>
      </c>
      <c r="B27" t="e">
        <f t="shared" ref="B27:B31" si="0">HLOOKUP(A27,_xlfn.ANCHORARRAY(A$17),2,0)</f>
        <v>#N/A</v>
      </c>
      <c r="C27" t="e">
        <f t="shared" ref="C27:C31" si="1">HLOOKUP(A27,_xlfn.ANCHORARRAY(A$17),7,0)</f>
        <v>#N/A</v>
      </c>
    </row>
    <row r="28" spans="1:8">
      <c r="A28" t="s">
        <v>48</v>
      </c>
      <c r="B28" t="e">
        <f t="shared" si="0"/>
        <v>#N/A</v>
      </c>
      <c r="C28" t="e">
        <f t="shared" si="1"/>
        <v>#N/A</v>
      </c>
    </row>
    <row r="29" spans="1:8">
      <c r="A29" s="20" t="s">
        <v>28</v>
      </c>
      <c r="B29" t="str">
        <f t="shared" si="0"/>
        <v>Madhavn</v>
      </c>
      <c r="C29" t="str">
        <f t="shared" si="1"/>
        <v>Cuddalore</v>
      </c>
    </row>
    <row r="30" spans="1:8">
      <c r="A30" t="s">
        <v>59</v>
      </c>
      <c r="B30" t="e">
        <f t="shared" si="0"/>
        <v>#N/A</v>
      </c>
      <c r="C30" t="e">
        <f t="shared" si="1"/>
        <v>#N/A</v>
      </c>
    </row>
    <row r="31" spans="1:8">
      <c r="A31" t="s">
        <v>80</v>
      </c>
      <c r="B31" t="e">
        <f t="shared" si="0"/>
        <v>#N/A</v>
      </c>
      <c r="C31" t="e">
        <f t="shared" si="1"/>
        <v>#N/A</v>
      </c>
    </row>
    <row r="33" spans="1:8">
      <c r="A33" s="19" t="s">
        <v>247</v>
      </c>
    </row>
    <row r="34" spans="1:8">
      <c r="A34" s="20" t="s">
        <v>247</v>
      </c>
      <c r="B34" s="20" t="s">
        <v>252</v>
      </c>
      <c r="C34" s="20" t="s">
        <v>253</v>
      </c>
      <c r="D34" s="20"/>
      <c r="E34" s="20"/>
    </row>
    <row r="35" spans="1:8">
      <c r="A35" t="s">
        <v>18</v>
      </c>
      <c r="B35" t="str">
        <f>LOOKUP(A35,rawdata!A$1:A$101,rawdata!B$1:B$101)</f>
        <v>Zohaann</v>
      </c>
      <c r="C35" t="str">
        <f>LOOKUP(A35,B$17:H$17,B$23:H$23)</f>
        <v>Panruti</v>
      </c>
      <c r="D35">
        <f>LOOKUP(A35,A$17:H$17,A$19:H$19)</f>
        <v>19</v>
      </c>
      <c r="E35">
        <f ca="1">LOOKUP(A35,17:17,A20:H20)</f>
        <v>44577</v>
      </c>
    </row>
    <row r="36" spans="1:8">
      <c r="A36" t="s">
        <v>34</v>
      </c>
      <c r="B36" t="str">
        <f>LOOKUP(A36,rawdata!A$1:A$101,rawdata!B$1:B$101)</f>
        <v>Aditya</v>
      </c>
      <c r="C36" t="str">
        <f t="shared" ref="C36:C40" si="2">LOOKUP(A36,B$17:H$17,B$23:H$23)</f>
        <v>Cuddalore</v>
      </c>
      <c r="D36">
        <f t="shared" ref="D36:D40" si="3">LOOKUP(A36,A$17:H$17,A$19:H$19)</f>
        <v>23</v>
      </c>
      <c r="E36" t="e">
        <f ca="1" t="shared" ref="E36:E40" si="4">LOOKUP(A36,18:18,A21:H21)</f>
        <v>#N/A</v>
      </c>
    </row>
    <row r="37" spans="1:8">
      <c r="A37" s="20" t="s">
        <v>25</v>
      </c>
      <c r="B37" t="str">
        <f>LOOKUP(A37,rawdata!A$1:A$101,rawdata!B$1:B$101)</f>
        <v>Pranitn</v>
      </c>
      <c r="C37" t="str">
        <f t="shared" si="2"/>
        <v>Neyveli</v>
      </c>
      <c r="D37">
        <f t="shared" si="3"/>
        <v>27</v>
      </c>
      <c r="E37" t="e">
        <f ca="1" t="shared" si="4"/>
        <v>#N/A</v>
      </c>
    </row>
    <row r="38" spans="1:8">
      <c r="A38" s="20" t="s">
        <v>28</v>
      </c>
      <c r="B38" t="str">
        <f>LOOKUP(A38,rawdata!A$1:A$101,rawdata!B$1:B$101)</f>
        <v>Madhavn</v>
      </c>
      <c r="C38" t="str">
        <f t="shared" si="2"/>
        <v>Cuddalore</v>
      </c>
      <c r="D38">
        <f t="shared" si="3"/>
        <v>23</v>
      </c>
      <c r="E38" t="e">
        <f ca="1" t="shared" si="4"/>
        <v>#N/A</v>
      </c>
    </row>
    <row r="39" spans="1:8">
      <c r="A39" t="s">
        <v>59</v>
      </c>
      <c r="B39" t="str">
        <f>LOOKUP(A39,rawdata!A$1:A$101,rawdata!B$1:B$101)</f>
        <v>Arjun</v>
      </c>
      <c r="C39" t="str">
        <f t="shared" si="2"/>
        <v>Cuddalore</v>
      </c>
      <c r="D39">
        <f t="shared" si="3"/>
        <v>23</v>
      </c>
      <c r="E39" t="e">
        <f ca="1" t="shared" si="4"/>
        <v>#N/A</v>
      </c>
    </row>
    <row r="40" spans="1:8">
      <c r="A40" t="s">
        <v>80</v>
      </c>
      <c r="B40" t="str">
        <f>LOOKUP(A40,rawdata!A$1:A$101,rawdata!B$1:B$101)</f>
        <v>Mokshn</v>
      </c>
      <c r="C40" t="str">
        <f t="shared" si="2"/>
        <v>Cuddalore</v>
      </c>
      <c r="D40">
        <f t="shared" si="3"/>
        <v>23</v>
      </c>
      <c r="E40" t="e">
        <f ca="1" t="shared" si="4"/>
        <v>#N/A</v>
      </c>
    </row>
    <row r="42" spans="1:8">
      <c r="A42" s="20" t="s">
        <v>256</v>
      </c>
    </row>
    <row r="43" spans="1:8">
      <c r="A43" s="20" t="s">
        <v>257</v>
      </c>
      <c r="B43" s="20" t="s">
        <v>258</v>
      </c>
      <c r="C43" s="20" t="s">
        <v>259</v>
      </c>
      <c r="E43" s="20"/>
    </row>
    <row r="44" spans="1:8">
      <c r="A44" t="s">
        <v>18</v>
      </c>
      <c r="B44" t="str">
        <f>_xlfn.XLOOKUP(A44,rawdata!A$2:A$101,rawdata!B$2:B$101,"not found",0,1)</f>
        <v>Zohaann</v>
      </c>
      <c r="C44" t="str">
        <f>_xlfn.XLOOKUP(A44,B$17:H$17,B$23:H$23,"Not found",0,1)</f>
        <v>Panruti</v>
      </c>
      <c r="E44">
        <f>_xlfn.XLOOKUP(A44,A$17:H$17,A$19:H$19,"not found",0)</f>
        <v>19</v>
      </c>
      <c r="F44" t="str">
        <f>_xlfn.XLOOKUP(A44,rawdata!A$2:A$101,rawdata!G$2:G$101,"Not Found",0)</f>
        <v>Panruti</v>
      </c>
      <c r="G44" t="str">
        <f>_xlfn.XLOOKUP(A44,A$17:H$17,A$22:H$22,"Not found",0)</f>
        <v>Beach Road</v>
      </c>
      <c r="H44" s="66">
        <f>_xlfn.XLOOKUP(A44,rawdata!A$2:A$101,rawdata!E$2:E$101,"not found",0)</f>
        <v>44613</v>
      </c>
    </row>
    <row r="45" spans="1:8">
      <c r="A45" t="s">
        <v>34</v>
      </c>
      <c r="B45" t="str">
        <f>_xlfn.XLOOKUP(A45,rawdata!A$2:A$101,rawdata!B$2:B$101,"not found",0,1)</f>
        <v>Aditya</v>
      </c>
      <c r="C45" t="str">
        <f t="shared" ref="C45:C50" si="5">_xlfn.XLOOKUP(A45,B$17:H$17,B$23:H$23,"Not found",0,1)</f>
        <v>Not found</v>
      </c>
      <c r="E45" t="str">
        <f t="shared" ref="E45:E50" si="6">_xlfn.XLOOKUP(A45,A$17:H$17,A$19:H$19,"not found",0)</f>
        <v>not found</v>
      </c>
      <c r="F45" t="str">
        <f>_xlfn.XLOOKUP(A45,rawdata!A$2:A$101,rawdata!G$2:G$101,"Not Found",0)</f>
        <v>Panruti</v>
      </c>
      <c r="G45" t="str">
        <f t="shared" ref="G45:G50" si="7">_xlfn.XLOOKUP(A45,A$17:H$17,A$22:H$22,"Not found",0)</f>
        <v>Not found</v>
      </c>
      <c r="H45" s="66">
        <f>_xlfn.XLOOKUP(A45,rawdata!A$2:A$101,rawdata!E$2:E$101,"not found",0)</f>
        <v>44633</v>
      </c>
    </row>
    <row r="46" spans="1:8">
      <c r="A46" s="20" t="s">
        <v>25</v>
      </c>
      <c r="B46" t="str">
        <f>_xlfn.XLOOKUP(A46,rawdata!A$2:A$101,rawdata!B$2:B$101,"not found",0,1)</f>
        <v>Pranitn</v>
      </c>
      <c r="C46" t="str">
        <f t="shared" si="5"/>
        <v>Neyveli</v>
      </c>
      <c r="E46">
        <f t="shared" si="6"/>
        <v>27</v>
      </c>
      <c r="F46" t="str">
        <f>_xlfn.XLOOKUP(A46,rawdata!A$2:A$101,rawdata!G$2:G$101,"Not Found",0)</f>
        <v>Neyveli</v>
      </c>
      <c r="G46" t="str">
        <f t="shared" si="7"/>
        <v>Keeranathan</v>
      </c>
      <c r="H46" s="66">
        <f>_xlfn.XLOOKUP(A46,rawdata!A$2:A$101,rawdata!E$2:E$101,"not found",0)</f>
        <v>44629</v>
      </c>
    </row>
    <row r="47" spans="1:8">
      <c r="A47" s="20" t="s">
        <v>28</v>
      </c>
      <c r="B47" t="str">
        <f>_xlfn.XLOOKUP(A47,rawdata!A$2:A$101,rawdata!B$2:B$101,"not found",0,1)</f>
        <v>Madhavn</v>
      </c>
      <c r="C47" t="str">
        <f t="shared" si="5"/>
        <v>Cuddalore</v>
      </c>
      <c r="E47">
        <f t="shared" si="6"/>
        <v>23</v>
      </c>
      <c r="F47" t="str">
        <f>_xlfn.XLOOKUP(A47,rawdata!A$2:A$101,rawdata!G$2:G$101,"Not Found",0)</f>
        <v>Cuddalore</v>
      </c>
      <c r="G47" t="str">
        <f t="shared" si="7"/>
        <v>Varakalpattu</v>
      </c>
      <c r="H47" s="66">
        <f>_xlfn.XLOOKUP(A47,rawdata!A$2:A$101,rawdata!E$2:E$101,"not found",0)</f>
        <v>44639</v>
      </c>
    </row>
    <row r="48" spans="1:8">
      <c r="A48" t="s">
        <v>59</v>
      </c>
      <c r="B48" t="str">
        <f>_xlfn.XLOOKUP(A48,rawdata!A$2:A$101,rawdata!B$2:B$101,"not found",0,1)</f>
        <v>Arjun</v>
      </c>
      <c r="C48" t="str">
        <f t="shared" si="5"/>
        <v>Not found</v>
      </c>
      <c r="E48" t="str">
        <f t="shared" si="6"/>
        <v>not found</v>
      </c>
      <c r="F48" t="str">
        <f>_xlfn.XLOOKUP(A48,rawdata!A$2:A$101,rawdata!G$2:G$101,"Not Found",0)</f>
        <v>Panruti</v>
      </c>
      <c r="G48" t="str">
        <f t="shared" si="7"/>
        <v>Not found</v>
      </c>
      <c r="H48" s="66">
        <f>_xlfn.XLOOKUP(A48,rawdata!A$2:A$101,rawdata!E$2:E$101,"not found",0)</f>
        <v>44669</v>
      </c>
    </row>
    <row r="49" spans="1:8">
      <c r="A49" t="s">
        <v>80</v>
      </c>
      <c r="B49" t="str">
        <f>_xlfn.XLOOKUP(A49,rawdata!A$2:A$101,rawdata!B$2:B$101,"not found",0,1)</f>
        <v>Mokshn</v>
      </c>
      <c r="C49" t="str">
        <f t="shared" si="5"/>
        <v>Not found</v>
      </c>
      <c r="E49" t="str">
        <f t="shared" si="6"/>
        <v>not found</v>
      </c>
      <c r="F49" t="str">
        <f>_xlfn.XLOOKUP(A49,rawdata!A$2:A$101,rawdata!G$2:G$101,"Not Found",0)</f>
        <v>Panruti</v>
      </c>
      <c r="G49" t="str">
        <f t="shared" si="7"/>
        <v>Not found</v>
      </c>
      <c r="H49" s="66">
        <f>_xlfn.XLOOKUP(A49,rawdata!A$2:A$101,rawdata!E$2:E$101,"not found",0)</f>
        <v>44702</v>
      </c>
    </row>
    <row r="50" spans="1:8">
      <c r="A50" s="20" t="s">
        <v>260</v>
      </c>
      <c r="B50" t="str">
        <f>_xlfn.XLOOKUP(A50,rawdata!A$2:A$101,rawdata!B$2:B$101,"not found",0,1)</f>
        <v>not found</v>
      </c>
      <c r="C50" t="str">
        <f t="shared" si="5"/>
        <v>Not found</v>
      </c>
      <c r="E50" t="str">
        <f t="shared" si="6"/>
        <v>not found</v>
      </c>
      <c r="F50" t="str">
        <f>_xlfn.XLOOKUP(A50,rawdata!A$2:A$101,rawdata!G$2:G$101,"Not Found",0)</f>
        <v>Not Found</v>
      </c>
      <c r="G50" t="str">
        <f t="shared" si="7"/>
        <v>Not found</v>
      </c>
      <c r="H50" s="66" t="str">
        <f>_xlfn.XLOOKUP(A50,rawdata!A$2:A$101,rawdata!E$2:E$101,"not found",0)</f>
        <v>not found</v>
      </c>
    </row>
  </sheetData>
  <dataValidations count="2">
    <dataValidation type="list" allowBlank="1" showInputMessage="1" showErrorMessage="1" sqref="J43">
      <formula1>$A$44:$A$50</formula1>
    </dataValidation>
    <dataValidation type="list" allowBlank="1" showInputMessage="1" showErrorMessage="1" sqref="A53:A56">
      <formula1>$A$53:$A$56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E3" sqref="E3"/>
    </sheetView>
  </sheetViews>
  <sheetFormatPr defaultColWidth="9" defaultRowHeight="14"/>
  <cols>
    <col min="2" max="2" width="36.3666666666667" customWidth="1"/>
    <col min="3" max="3" width="20.2666666666667" customWidth="1"/>
    <col min="5" max="5" width="13.2666666666667" customWidth="1"/>
  </cols>
  <sheetData>
    <row r="1" spans="1:9">
      <c r="A1" t="s">
        <v>261</v>
      </c>
      <c r="B1" t="s">
        <v>262</v>
      </c>
    </row>
    <row r="2" spans="1:9">
      <c r="A2" t="s">
        <v>263</v>
      </c>
      <c r="B2" t="s">
        <v>264</v>
      </c>
      <c r="C2" s="20" t="s">
        <v>265</v>
      </c>
    </row>
    <row r="3" spans="1:9">
      <c r="A3" t="s">
        <v>266</v>
      </c>
      <c r="B3" t="s">
        <v>267</v>
      </c>
    </row>
    <row r="4" spans="1:9">
      <c r="C4" s="20" t="s">
        <v>268</v>
      </c>
    </row>
    <row r="5" spans="1:9">
      <c r="E5">
        <v>1</v>
      </c>
      <c r="F5">
        <v>2</v>
      </c>
      <c r="G5">
        <v>3</v>
      </c>
      <c r="H5">
        <v>4</v>
      </c>
      <c r="I5">
        <v>5</v>
      </c>
    </row>
    <row r="6" spans="1:9">
      <c r="A6" t="s">
        <v>261</v>
      </c>
      <c r="B6" t="str">
        <f>INDEX(E6:I8,3,3)</f>
        <v>i</v>
      </c>
      <c r="C6" s="19" t="s">
        <v>269</v>
      </c>
      <c r="D6">
        <v>1</v>
      </c>
      <c r="E6" s="64" t="s">
        <v>270</v>
      </c>
      <c r="F6" s="64" t="s">
        <v>271</v>
      </c>
      <c r="G6" s="64" t="s">
        <v>272</v>
      </c>
      <c r="H6" s="64" t="s">
        <v>270</v>
      </c>
      <c r="I6" s="64" t="s">
        <v>271</v>
      </c>
    </row>
    <row r="7" spans="1:9">
      <c r="A7" t="s">
        <v>273</v>
      </c>
      <c r="B7" t="str">
        <f>INDEX(E6:I6,1,3)</f>
        <v>c</v>
      </c>
      <c r="C7" s="19" t="s">
        <v>274</v>
      </c>
      <c r="D7">
        <v>2</v>
      </c>
      <c r="E7" s="64" t="s">
        <v>275</v>
      </c>
      <c r="F7" s="64" t="s">
        <v>276</v>
      </c>
      <c r="G7" s="64" t="s">
        <v>277</v>
      </c>
      <c r="H7" s="64" t="s">
        <v>275</v>
      </c>
      <c r="I7" s="64" t="s">
        <v>276</v>
      </c>
    </row>
    <row r="8" spans="1:9">
      <c r="B8" t="str">
        <f>INDEX(E6:E8,1,1)</f>
        <v>a</v>
      </c>
      <c r="C8" s="19" t="s">
        <v>278</v>
      </c>
      <c r="D8">
        <v>3</v>
      </c>
      <c r="E8" s="64" t="s">
        <v>279</v>
      </c>
      <c r="F8" s="64" t="s">
        <v>280</v>
      </c>
      <c r="G8" s="64" t="s">
        <v>281</v>
      </c>
      <c r="H8" s="64" t="s">
        <v>279</v>
      </c>
      <c r="I8" s="64" t="s">
        <v>280</v>
      </c>
    </row>
    <row r="10" spans="1:9">
      <c r="A10" t="s">
        <v>282</v>
      </c>
      <c r="B10">
        <f>MATCH("f",E7:I7,0)</f>
        <v>3</v>
      </c>
      <c r="C10" s="19" t="s">
        <v>283</v>
      </c>
    </row>
    <row r="11" spans="1:9">
      <c r="B11">
        <f>MATCH("f",G6:G8,0)</f>
        <v>2</v>
      </c>
      <c r="C11" s="19" t="s">
        <v>284</v>
      </c>
    </row>
    <row r="14" spans="1:9">
      <c r="A14" s="20" t="s">
        <v>285</v>
      </c>
      <c r="B14">
        <f>_xlfn.XMATCH("d",E7:I7,0,-1)</f>
        <v>4</v>
      </c>
      <c r="C14" s="19" t="s">
        <v>286</v>
      </c>
    </row>
    <row r="16" spans="1:9">
      <c r="A16" s="20" t="s">
        <v>287</v>
      </c>
      <c r="B16" s="20" t="s">
        <v>288</v>
      </c>
      <c r="E16" s="20" t="s">
        <v>289</v>
      </c>
    </row>
    <row r="17" spans="1:9">
      <c r="A17" s="20" t="s">
        <v>290</v>
      </c>
      <c r="B17" s="65">
        <v>60000</v>
      </c>
      <c r="C17">
        <v>6</v>
      </c>
      <c r="E17" s="20" t="s">
        <v>291</v>
      </c>
      <c r="F17" s="20" t="s">
        <v>292</v>
      </c>
    </row>
    <row r="18" spans="1:9">
      <c r="A18" s="20" t="s">
        <v>293</v>
      </c>
      <c r="B18">
        <v>45000</v>
      </c>
      <c r="C18">
        <v>5</v>
      </c>
      <c r="E18" s="20" t="s">
        <v>294</v>
      </c>
      <c r="F18" t="s">
        <v>295</v>
      </c>
    </row>
    <row r="19" spans="1:9">
      <c r="A19" s="20" t="s">
        <v>296</v>
      </c>
      <c r="B19">
        <v>50000</v>
      </c>
      <c r="C19">
        <v>5</v>
      </c>
      <c r="E19" s="20" t="s">
        <v>297</v>
      </c>
      <c r="F19">
        <f>INDEX(B17:B20,MATCH(F18,A17:A20,0))</f>
        <v>35000</v>
      </c>
      <c r="I19" s="20" t="s">
        <v>298</v>
      </c>
    </row>
    <row r="20" spans="1:9">
      <c r="A20" s="20" t="s">
        <v>295</v>
      </c>
      <c r="B20">
        <v>35000</v>
      </c>
      <c r="C20">
        <v>3</v>
      </c>
      <c r="E20" s="20" t="s">
        <v>299</v>
      </c>
      <c r="F20">
        <f>INDEX(C17:C20,MATCH(F18,A17:A20,0))</f>
        <v>3</v>
      </c>
    </row>
  </sheetData>
  <dataValidations count="1">
    <dataValidation type="list" allowBlank="1" showInputMessage="1" showErrorMessage="1" sqref="F18">
      <formula1>$A$17:$A$20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4"/>
  <sheetViews>
    <sheetView tabSelected="1" topLeftCell="A28" workbookViewId="0">
      <selection activeCell="C36" sqref="C36"/>
    </sheetView>
  </sheetViews>
  <sheetFormatPr defaultColWidth="9" defaultRowHeight="14" outlineLevelCol="5"/>
  <cols>
    <col min="1" max="1" width="36.2666666666667" customWidth="1"/>
    <col min="2" max="2" width="19.5416666666667" customWidth="1"/>
    <col min="3" max="3" width="12.9083333333333" customWidth="1"/>
    <col min="4" max="4" width="8.45" customWidth="1"/>
    <col min="5" max="5" width="6.26666666666667" customWidth="1"/>
    <col min="6" max="6" width="12.9083333333333" customWidth="1"/>
  </cols>
  <sheetData>
    <row r="2" spans="1:2">
      <c r="A2" s="19" t="s">
        <v>300</v>
      </c>
    </row>
    <row r="3" spans="1:2">
      <c r="A3" t="s">
        <v>301</v>
      </c>
      <c r="B3" t="s">
        <v>302</v>
      </c>
    </row>
    <row r="4" spans="1:2">
      <c r="A4" s="61" t="s">
        <v>303</v>
      </c>
      <c r="B4" s="62">
        <v>606400</v>
      </c>
    </row>
    <row r="5" spans="1:2">
      <c r="A5" s="61" t="s">
        <v>304</v>
      </c>
      <c r="B5" s="62">
        <v>571400</v>
      </c>
    </row>
    <row r="6" spans="1:2">
      <c r="A6" s="61" t="s">
        <v>305</v>
      </c>
      <c r="B6" s="62">
        <v>487000</v>
      </c>
    </row>
    <row r="7" spans="1:2">
      <c r="A7" s="61" t="s">
        <v>306</v>
      </c>
      <c r="B7" s="62">
        <v>461600</v>
      </c>
    </row>
    <row r="8" spans="1:2">
      <c r="A8" s="61" t="s">
        <v>307</v>
      </c>
      <c r="B8" s="62">
        <v>2126400</v>
      </c>
    </row>
    <row r="9" spans="1:2">
      <c r="A9" t="s">
        <v>308</v>
      </c>
      <c r="B9" t="s">
        <v>309</v>
      </c>
    </row>
    <row r="10" spans="1:2">
      <c r="A10" s="19" t="s">
        <v>310</v>
      </c>
    </row>
    <row r="11" spans="1:2">
      <c r="A11" t="s">
        <v>301</v>
      </c>
      <c r="B11" t="s">
        <v>311</v>
      </c>
    </row>
    <row r="12" spans="1:2">
      <c r="A12" s="61" t="s">
        <v>312</v>
      </c>
      <c r="B12" s="62">
        <v>8</v>
      </c>
    </row>
    <row r="13" spans="1:2">
      <c r="A13" s="61" t="s">
        <v>313</v>
      </c>
      <c r="B13" s="62">
        <v>8</v>
      </c>
    </row>
    <row r="14" spans="1:2">
      <c r="A14" s="61" t="s">
        <v>314</v>
      </c>
      <c r="B14" s="62">
        <v>9</v>
      </c>
    </row>
    <row r="15" spans="1:2">
      <c r="A15" s="61" t="s">
        <v>315</v>
      </c>
      <c r="B15" s="62">
        <v>8</v>
      </c>
    </row>
    <row r="16" spans="1:2">
      <c r="A16" s="61" t="s">
        <v>316</v>
      </c>
      <c r="B16" s="62">
        <v>9</v>
      </c>
    </row>
    <row r="17" spans="1:6">
      <c r="A17" s="61" t="s">
        <v>317</v>
      </c>
      <c r="B17" s="62">
        <v>8</v>
      </c>
    </row>
    <row r="18" spans="1:6">
      <c r="A18" s="61" t="s">
        <v>307</v>
      </c>
      <c r="B18" s="62">
        <v>50</v>
      </c>
    </row>
    <row r="20" spans="1:6">
      <c r="A20" t="s">
        <v>302</v>
      </c>
      <c r="B20" t="s">
        <v>318</v>
      </c>
    </row>
    <row r="21" spans="1:6">
      <c r="A21" t="s">
        <v>301</v>
      </c>
      <c r="B21" t="s">
        <v>303</v>
      </c>
      <c r="C21" t="s">
        <v>304</v>
      </c>
      <c r="D21" t="s">
        <v>305</v>
      </c>
      <c r="E21" t="s">
        <v>306</v>
      </c>
      <c r="F21" t="s">
        <v>307</v>
      </c>
    </row>
    <row r="22" spans="1:6">
      <c r="A22" s="61" t="s">
        <v>319</v>
      </c>
      <c r="B22" s="62">
        <v>187000</v>
      </c>
      <c r="C22" s="62">
        <v>311000</v>
      </c>
      <c r="D22" s="62">
        <v>206000</v>
      </c>
      <c r="E22" s="62">
        <v>200000</v>
      </c>
      <c r="F22" s="62">
        <v>904000</v>
      </c>
    </row>
    <row r="23" spans="1:6">
      <c r="A23" s="61" t="s">
        <v>320</v>
      </c>
      <c r="B23" s="62">
        <v>37000</v>
      </c>
      <c r="C23" s="62">
        <v>79900</v>
      </c>
      <c r="D23" s="62">
        <v>17500</v>
      </c>
      <c r="E23" s="62">
        <v>91100</v>
      </c>
      <c r="F23" s="62">
        <v>225500</v>
      </c>
    </row>
    <row r="24" spans="1:6">
      <c r="A24" s="61" t="s">
        <v>321</v>
      </c>
      <c r="B24" s="62">
        <v>282500</v>
      </c>
      <c r="C24" s="62">
        <v>144000</v>
      </c>
      <c r="D24" s="62">
        <v>170000</v>
      </c>
      <c r="E24" s="62">
        <v>139000</v>
      </c>
      <c r="F24" s="62">
        <v>735500</v>
      </c>
    </row>
    <row r="25" spans="1:6">
      <c r="A25" s="61" t="s">
        <v>322</v>
      </c>
      <c r="B25" s="62">
        <v>99900</v>
      </c>
      <c r="C25" s="62">
        <v>36500</v>
      </c>
      <c r="D25" s="62">
        <v>93500</v>
      </c>
      <c r="E25" s="62">
        <v>31500</v>
      </c>
      <c r="F25" s="62">
        <v>261400</v>
      </c>
    </row>
    <row r="26" spans="1:6">
      <c r="A26" s="61" t="s">
        <v>307</v>
      </c>
      <c r="B26" s="62">
        <v>606400</v>
      </c>
      <c r="C26" s="62">
        <v>571400</v>
      </c>
      <c r="D26" s="62">
        <v>487000</v>
      </c>
      <c r="E26" s="62">
        <v>461600</v>
      </c>
      <c r="F26" s="62">
        <v>2126400</v>
      </c>
    </row>
    <row r="28" spans="1:6">
      <c r="A28" t="s">
        <v>302</v>
      </c>
      <c r="B28" t="s">
        <v>318</v>
      </c>
    </row>
    <row r="29" spans="1:6">
      <c r="A29" t="s">
        <v>301</v>
      </c>
      <c r="B29" t="s">
        <v>321</v>
      </c>
      <c r="C29" t="s">
        <v>307</v>
      </c>
    </row>
    <row r="30" spans="1:6">
      <c r="A30" s="61" t="s">
        <v>304</v>
      </c>
      <c r="B30" s="62">
        <v>144000</v>
      </c>
      <c r="C30" s="62">
        <v>144000</v>
      </c>
    </row>
    <row r="31" spans="1:6">
      <c r="A31" s="63" t="s">
        <v>317</v>
      </c>
      <c r="B31" s="62">
        <v>144000</v>
      </c>
      <c r="C31" s="62">
        <v>144000</v>
      </c>
    </row>
    <row r="32" spans="1:6">
      <c r="A32" s="61" t="s">
        <v>306</v>
      </c>
      <c r="B32" s="62">
        <v>84000</v>
      </c>
      <c r="C32" s="62">
        <v>84000</v>
      </c>
    </row>
    <row r="33" spans="1:3">
      <c r="A33" s="63" t="s">
        <v>315</v>
      </c>
      <c r="B33" s="62">
        <v>84000</v>
      </c>
      <c r="C33" s="62">
        <v>84000</v>
      </c>
    </row>
    <row r="34" spans="1:3">
      <c r="A34" s="61" t="s">
        <v>307</v>
      </c>
      <c r="B34" s="62">
        <v>228000</v>
      </c>
      <c r="C34" s="62">
        <v>228000</v>
      </c>
    </row>
  </sheetData>
  <pageMargins left="0.7" right="0.7" top="0.75" bottom="0.75" header="0.3" footer="0.3"/>
  <headerFooter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opLeftCell="D1" workbookViewId="0">
      <selection activeCell="L19" sqref="L19"/>
    </sheetView>
  </sheetViews>
  <sheetFormatPr defaultColWidth="9" defaultRowHeight="14"/>
  <cols>
    <col min="2" max="2" width="10.8166666666667" customWidth="1"/>
    <col min="4" max="4" width="10.0916666666667" customWidth="1"/>
    <col min="5" max="5" width="12.6333333333333" customWidth="1"/>
    <col min="6" max="6" width="11.8166666666667" customWidth="1"/>
    <col min="10" max="10" width="12.9083333333333" customWidth="1"/>
    <col min="13" max="13" width="76" customWidth="1"/>
  </cols>
  <sheetData>
    <row r="1" spans="1:13">
      <c r="A1" t="s">
        <v>323</v>
      </c>
      <c r="B1" t="s">
        <v>324</v>
      </c>
      <c r="C1" t="s">
        <v>308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M1" s="19" t="s">
        <v>300</v>
      </c>
    </row>
    <row r="2" spans="1:13">
      <c r="A2" t="s">
        <v>332</v>
      </c>
      <c r="B2" s="11">
        <v>46027</v>
      </c>
      <c r="C2" t="s">
        <v>319</v>
      </c>
      <c r="D2" t="s">
        <v>304</v>
      </c>
      <c r="E2" t="s">
        <v>314</v>
      </c>
      <c r="F2" t="s">
        <v>333</v>
      </c>
      <c r="G2">
        <v>2</v>
      </c>
      <c r="H2">
        <v>55000</v>
      </c>
      <c r="I2">
        <v>110000</v>
      </c>
      <c r="J2" t="s">
        <v>334</v>
      </c>
      <c r="M2" s="19" t="s">
        <v>335</v>
      </c>
    </row>
    <row r="3" spans="1:13">
      <c r="A3" t="s">
        <v>336</v>
      </c>
      <c r="B3" s="11">
        <v>46028</v>
      </c>
      <c r="C3" t="s">
        <v>322</v>
      </c>
      <c r="D3" t="s">
        <v>305</v>
      </c>
      <c r="E3" t="s">
        <v>316</v>
      </c>
      <c r="F3" t="s">
        <v>337</v>
      </c>
      <c r="G3">
        <v>10</v>
      </c>
      <c r="H3">
        <v>800</v>
      </c>
      <c r="I3">
        <v>8000</v>
      </c>
      <c r="J3" t="s">
        <v>338</v>
      </c>
      <c r="M3" s="19" t="s">
        <v>310</v>
      </c>
    </row>
    <row r="4" spans="1:13">
      <c r="A4" t="s">
        <v>339</v>
      </c>
      <c r="B4" s="11">
        <v>46029</v>
      </c>
      <c r="C4" t="s">
        <v>321</v>
      </c>
      <c r="D4" t="s">
        <v>303</v>
      </c>
      <c r="E4" t="s">
        <v>313</v>
      </c>
      <c r="F4" t="s">
        <v>337</v>
      </c>
      <c r="G4">
        <v>5</v>
      </c>
      <c r="H4">
        <v>1500</v>
      </c>
      <c r="I4">
        <v>7500</v>
      </c>
      <c r="J4" t="s">
        <v>340</v>
      </c>
      <c r="M4" s="19" t="s">
        <v>341</v>
      </c>
    </row>
    <row r="5" spans="1:13">
      <c r="A5" t="s">
        <v>342</v>
      </c>
      <c r="B5" s="11">
        <v>46030</v>
      </c>
      <c r="C5" t="s">
        <v>320</v>
      </c>
      <c r="D5" t="s">
        <v>306</v>
      </c>
      <c r="E5" t="s">
        <v>315</v>
      </c>
      <c r="F5" t="s">
        <v>333</v>
      </c>
      <c r="G5">
        <v>3</v>
      </c>
      <c r="H5">
        <v>12000</v>
      </c>
      <c r="I5">
        <v>36000</v>
      </c>
      <c r="J5" t="s">
        <v>334</v>
      </c>
      <c r="M5" s="19" t="s">
        <v>343</v>
      </c>
    </row>
    <row r="6" spans="1:13">
      <c r="A6" t="s">
        <v>344</v>
      </c>
      <c r="B6" s="11">
        <v>46031</v>
      </c>
      <c r="C6" t="s">
        <v>319</v>
      </c>
      <c r="D6" t="s">
        <v>305</v>
      </c>
      <c r="E6" t="s">
        <v>317</v>
      </c>
      <c r="F6" t="s">
        <v>333</v>
      </c>
      <c r="G6">
        <v>2</v>
      </c>
      <c r="H6">
        <v>18000</v>
      </c>
      <c r="I6">
        <v>36000</v>
      </c>
      <c r="J6" t="s">
        <v>338</v>
      </c>
      <c r="M6" s="19" t="s">
        <v>345</v>
      </c>
    </row>
    <row r="7" spans="1:13">
      <c r="A7" t="s">
        <v>346</v>
      </c>
      <c r="B7" s="11">
        <v>46032</v>
      </c>
      <c r="C7" t="s">
        <v>322</v>
      </c>
      <c r="D7" t="s">
        <v>304</v>
      </c>
      <c r="E7" t="s">
        <v>312</v>
      </c>
      <c r="F7" t="s">
        <v>337</v>
      </c>
      <c r="G7">
        <v>8</v>
      </c>
      <c r="H7">
        <v>2500</v>
      </c>
      <c r="I7">
        <v>20000</v>
      </c>
      <c r="J7" t="s">
        <v>334</v>
      </c>
      <c r="M7" s="19" t="s">
        <v>347</v>
      </c>
    </row>
    <row r="8" spans="1:13">
      <c r="A8" t="s">
        <v>348</v>
      </c>
      <c r="B8" s="11">
        <v>46033</v>
      </c>
      <c r="C8" t="s">
        <v>321</v>
      </c>
      <c r="D8" t="s">
        <v>306</v>
      </c>
      <c r="E8" t="s">
        <v>314</v>
      </c>
      <c r="F8" t="s">
        <v>333</v>
      </c>
      <c r="G8">
        <v>1</v>
      </c>
      <c r="H8">
        <v>55000</v>
      </c>
      <c r="I8">
        <v>55000</v>
      </c>
      <c r="J8" t="s">
        <v>338</v>
      </c>
      <c r="M8" s="19" t="s">
        <v>349</v>
      </c>
    </row>
    <row r="9" spans="1:13">
      <c r="A9" t="s">
        <v>350</v>
      </c>
      <c r="B9" s="11">
        <v>46034</v>
      </c>
      <c r="C9" t="s">
        <v>320</v>
      </c>
      <c r="D9" t="s">
        <v>303</v>
      </c>
      <c r="E9" t="s">
        <v>316</v>
      </c>
      <c r="F9" t="s">
        <v>337</v>
      </c>
      <c r="G9">
        <v>15</v>
      </c>
      <c r="H9">
        <v>800</v>
      </c>
      <c r="I9">
        <v>12000</v>
      </c>
      <c r="J9" t="s">
        <v>340</v>
      </c>
      <c r="M9" s="19" t="s">
        <v>351</v>
      </c>
    </row>
    <row r="10" spans="1:13">
      <c r="A10" t="s">
        <v>352</v>
      </c>
      <c r="B10" s="11">
        <v>46035</v>
      </c>
      <c r="C10" t="s">
        <v>319</v>
      </c>
      <c r="D10" t="s">
        <v>303</v>
      </c>
      <c r="E10" t="s">
        <v>315</v>
      </c>
      <c r="F10" t="s">
        <v>333</v>
      </c>
      <c r="G10">
        <v>4</v>
      </c>
      <c r="H10">
        <v>12000</v>
      </c>
      <c r="I10">
        <v>48000</v>
      </c>
      <c r="J10" t="s">
        <v>334</v>
      </c>
      <c r="M10" s="19" t="s">
        <v>353</v>
      </c>
    </row>
    <row r="11" spans="1:13">
      <c r="A11" t="s">
        <v>354</v>
      </c>
      <c r="B11" s="11">
        <v>46036</v>
      </c>
      <c r="C11" t="s">
        <v>322</v>
      </c>
      <c r="D11" t="s">
        <v>305</v>
      </c>
      <c r="E11" t="s">
        <v>313</v>
      </c>
      <c r="F11" t="s">
        <v>337</v>
      </c>
      <c r="G11">
        <v>7</v>
      </c>
      <c r="H11">
        <v>1500</v>
      </c>
      <c r="I11">
        <v>10500</v>
      </c>
      <c r="J11" t="s">
        <v>338</v>
      </c>
      <c r="M11" t="s">
        <v>355</v>
      </c>
    </row>
    <row r="12" spans="1:13">
      <c r="A12" t="s">
        <v>356</v>
      </c>
      <c r="B12" s="11">
        <v>46037</v>
      </c>
      <c r="C12" t="s">
        <v>321</v>
      </c>
      <c r="D12" t="s">
        <v>304</v>
      </c>
      <c r="E12" t="s">
        <v>317</v>
      </c>
      <c r="F12" t="s">
        <v>333</v>
      </c>
      <c r="G12">
        <v>3</v>
      </c>
      <c r="H12">
        <v>18000</v>
      </c>
      <c r="I12">
        <v>54000</v>
      </c>
      <c r="J12" t="s">
        <v>334</v>
      </c>
      <c r="M12" t="s">
        <v>357</v>
      </c>
    </row>
    <row r="13" spans="1:13">
      <c r="A13" t="s">
        <v>358</v>
      </c>
      <c r="B13" s="11">
        <v>46038</v>
      </c>
      <c r="C13" t="s">
        <v>320</v>
      </c>
      <c r="D13" t="s">
        <v>306</v>
      </c>
      <c r="E13" t="s">
        <v>312</v>
      </c>
      <c r="F13" t="s">
        <v>337</v>
      </c>
      <c r="G13">
        <v>6</v>
      </c>
      <c r="H13">
        <v>2500</v>
      </c>
      <c r="I13">
        <v>15000</v>
      </c>
      <c r="J13" t="s">
        <v>340</v>
      </c>
      <c r="M13" t="s">
        <v>359</v>
      </c>
    </row>
    <row r="14" spans="1:13">
      <c r="A14" t="s">
        <v>360</v>
      </c>
      <c r="B14" s="11">
        <v>46039</v>
      </c>
      <c r="C14" t="s">
        <v>319</v>
      </c>
      <c r="D14" t="s">
        <v>304</v>
      </c>
      <c r="E14" t="s">
        <v>314</v>
      </c>
      <c r="F14" t="s">
        <v>333</v>
      </c>
      <c r="G14">
        <v>3</v>
      </c>
      <c r="H14">
        <v>55000</v>
      </c>
      <c r="I14">
        <v>165000</v>
      </c>
      <c r="J14" t="s">
        <v>338</v>
      </c>
      <c r="M14" t="s">
        <v>361</v>
      </c>
    </row>
    <row r="15" spans="1:13">
      <c r="A15" t="s">
        <v>362</v>
      </c>
      <c r="B15" s="11">
        <v>46040</v>
      </c>
      <c r="C15" t="s">
        <v>322</v>
      </c>
      <c r="D15" t="s">
        <v>303</v>
      </c>
      <c r="E15" t="s">
        <v>316</v>
      </c>
      <c r="F15" t="s">
        <v>337</v>
      </c>
      <c r="G15">
        <v>20</v>
      </c>
      <c r="H15">
        <v>800</v>
      </c>
      <c r="I15">
        <v>16000</v>
      </c>
      <c r="J15" t="s">
        <v>334</v>
      </c>
      <c r="M15" t="s">
        <v>363</v>
      </c>
    </row>
    <row r="16" spans="1:13">
      <c r="A16" t="s">
        <v>364</v>
      </c>
      <c r="B16" s="11">
        <v>46041</v>
      </c>
      <c r="C16" t="s">
        <v>321</v>
      </c>
      <c r="D16" t="s">
        <v>305</v>
      </c>
      <c r="E16" t="s">
        <v>315</v>
      </c>
      <c r="F16" t="s">
        <v>333</v>
      </c>
      <c r="G16">
        <v>2</v>
      </c>
      <c r="H16">
        <v>12000</v>
      </c>
      <c r="I16">
        <v>24000</v>
      </c>
      <c r="J16" t="s">
        <v>340</v>
      </c>
    </row>
    <row r="17" spans="1:10">
      <c r="A17" t="s">
        <v>365</v>
      </c>
      <c r="B17" s="11">
        <v>46042</v>
      </c>
      <c r="C17" t="s">
        <v>320</v>
      </c>
      <c r="D17" t="s">
        <v>304</v>
      </c>
      <c r="E17" t="s">
        <v>313</v>
      </c>
      <c r="F17" t="s">
        <v>337</v>
      </c>
      <c r="G17">
        <v>10</v>
      </c>
      <c r="H17">
        <v>1500</v>
      </c>
      <c r="I17">
        <v>15000</v>
      </c>
      <c r="J17" t="s">
        <v>338</v>
      </c>
    </row>
    <row r="18" spans="1:10">
      <c r="A18" t="s">
        <v>366</v>
      </c>
      <c r="B18" s="11">
        <v>46043</v>
      </c>
      <c r="C18" t="s">
        <v>319</v>
      </c>
      <c r="D18" t="s">
        <v>306</v>
      </c>
      <c r="E18" t="s">
        <v>317</v>
      </c>
      <c r="F18" t="s">
        <v>333</v>
      </c>
      <c r="G18">
        <v>1</v>
      </c>
      <c r="H18">
        <v>18000</v>
      </c>
      <c r="I18">
        <v>18000</v>
      </c>
      <c r="J18" t="s">
        <v>334</v>
      </c>
    </row>
    <row r="19" spans="1:10">
      <c r="A19" t="s">
        <v>367</v>
      </c>
      <c r="B19" s="11">
        <v>46044</v>
      </c>
      <c r="C19" t="s">
        <v>322</v>
      </c>
      <c r="D19" t="s">
        <v>305</v>
      </c>
      <c r="E19" t="s">
        <v>312</v>
      </c>
      <c r="F19" t="s">
        <v>337</v>
      </c>
      <c r="G19">
        <v>12</v>
      </c>
      <c r="H19">
        <v>2500</v>
      </c>
      <c r="I19">
        <v>30000</v>
      </c>
      <c r="J19" t="s">
        <v>338</v>
      </c>
    </row>
    <row r="20" spans="1:10">
      <c r="A20" t="s">
        <v>368</v>
      </c>
      <c r="B20" s="11">
        <v>46045</v>
      </c>
      <c r="C20" t="s">
        <v>321</v>
      </c>
      <c r="D20" t="s">
        <v>303</v>
      </c>
      <c r="E20" t="s">
        <v>314</v>
      </c>
      <c r="F20" t="s">
        <v>333</v>
      </c>
      <c r="G20">
        <v>2</v>
      </c>
      <c r="H20">
        <v>55000</v>
      </c>
      <c r="I20">
        <v>110000</v>
      </c>
      <c r="J20" t="s">
        <v>334</v>
      </c>
    </row>
    <row r="21" spans="1:10">
      <c r="A21" t="s">
        <v>369</v>
      </c>
      <c r="B21" s="11">
        <v>46046</v>
      </c>
      <c r="C21" t="s">
        <v>320</v>
      </c>
      <c r="D21" t="s">
        <v>304</v>
      </c>
      <c r="E21" t="s">
        <v>316</v>
      </c>
      <c r="F21" t="s">
        <v>337</v>
      </c>
      <c r="G21">
        <v>18</v>
      </c>
      <c r="H21">
        <v>800</v>
      </c>
      <c r="I21">
        <v>14400</v>
      </c>
      <c r="J21" t="s">
        <v>340</v>
      </c>
    </row>
    <row r="22" spans="1:10">
      <c r="A22" t="s">
        <v>370</v>
      </c>
      <c r="B22" s="11">
        <v>46047</v>
      </c>
      <c r="C22" t="s">
        <v>319</v>
      </c>
      <c r="D22" t="s">
        <v>305</v>
      </c>
      <c r="E22" t="s">
        <v>315</v>
      </c>
      <c r="F22" t="s">
        <v>333</v>
      </c>
      <c r="G22">
        <v>5</v>
      </c>
      <c r="H22">
        <v>12000</v>
      </c>
      <c r="I22">
        <v>60000</v>
      </c>
      <c r="J22" t="s">
        <v>338</v>
      </c>
    </row>
    <row r="23" spans="1:10">
      <c r="A23" t="s">
        <v>371</v>
      </c>
      <c r="B23" s="11">
        <v>46048</v>
      </c>
      <c r="C23" t="s">
        <v>322</v>
      </c>
      <c r="D23" t="s">
        <v>306</v>
      </c>
      <c r="E23" t="s">
        <v>313</v>
      </c>
      <c r="F23" t="s">
        <v>337</v>
      </c>
      <c r="G23">
        <v>9</v>
      </c>
      <c r="H23">
        <v>1500</v>
      </c>
      <c r="I23">
        <v>13500</v>
      </c>
      <c r="J23" t="s">
        <v>334</v>
      </c>
    </row>
    <row r="24" spans="1:10">
      <c r="A24" t="s">
        <v>372</v>
      </c>
      <c r="B24" s="11">
        <v>46049</v>
      </c>
      <c r="C24" t="s">
        <v>321</v>
      </c>
      <c r="D24" t="s">
        <v>304</v>
      </c>
      <c r="E24" t="s">
        <v>317</v>
      </c>
      <c r="F24" t="s">
        <v>333</v>
      </c>
      <c r="G24">
        <v>2</v>
      </c>
      <c r="H24">
        <v>18000</v>
      </c>
      <c r="I24">
        <v>36000</v>
      </c>
      <c r="J24" t="s">
        <v>340</v>
      </c>
    </row>
    <row r="25" spans="1:10">
      <c r="A25" t="s">
        <v>373</v>
      </c>
      <c r="B25" s="11">
        <v>46050</v>
      </c>
      <c r="C25" t="s">
        <v>320</v>
      </c>
      <c r="D25" t="s">
        <v>303</v>
      </c>
      <c r="E25" t="s">
        <v>312</v>
      </c>
      <c r="F25" t="s">
        <v>337</v>
      </c>
      <c r="G25">
        <v>10</v>
      </c>
      <c r="H25">
        <v>2500</v>
      </c>
      <c r="I25">
        <v>25000</v>
      </c>
      <c r="J25" t="s">
        <v>338</v>
      </c>
    </row>
    <row r="26" spans="1:10">
      <c r="A26" t="s">
        <v>374</v>
      </c>
      <c r="B26" s="11">
        <v>46051</v>
      </c>
      <c r="C26" t="s">
        <v>319</v>
      </c>
      <c r="D26" t="s">
        <v>303</v>
      </c>
      <c r="E26" t="s">
        <v>314</v>
      </c>
      <c r="F26" t="s">
        <v>333</v>
      </c>
      <c r="G26">
        <v>1</v>
      </c>
      <c r="H26">
        <v>55000</v>
      </c>
      <c r="I26">
        <v>55000</v>
      </c>
      <c r="J26" t="s">
        <v>334</v>
      </c>
    </row>
    <row r="27" spans="1:10">
      <c r="A27" t="s">
        <v>375</v>
      </c>
      <c r="B27" s="11">
        <v>46052</v>
      </c>
      <c r="C27" t="s">
        <v>322</v>
      </c>
      <c r="D27" t="s">
        <v>305</v>
      </c>
      <c r="E27" t="s">
        <v>316</v>
      </c>
      <c r="F27" t="s">
        <v>337</v>
      </c>
      <c r="G27">
        <v>25</v>
      </c>
      <c r="H27">
        <v>800</v>
      </c>
      <c r="I27">
        <v>20000</v>
      </c>
      <c r="J27" t="s">
        <v>338</v>
      </c>
    </row>
    <row r="28" spans="1:10">
      <c r="A28" t="s">
        <v>376</v>
      </c>
      <c r="B28" s="11">
        <v>46053</v>
      </c>
      <c r="C28" t="s">
        <v>321</v>
      </c>
      <c r="D28" t="s">
        <v>306</v>
      </c>
      <c r="E28" t="s">
        <v>315</v>
      </c>
      <c r="F28" t="s">
        <v>333</v>
      </c>
      <c r="G28">
        <v>3</v>
      </c>
      <c r="H28">
        <v>12000</v>
      </c>
      <c r="I28">
        <v>36000</v>
      </c>
      <c r="J28" t="s">
        <v>334</v>
      </c>
    </row>
    <row r="29" spans="1:10">
      <c r="A29" t="s">
        <v>377</v>
      </c>
      <c r="B29" s="11">
        <v>46054</v>
      </c>
      <c r="C29" t="s">
        <v>320</v>
      </c>
      <c r="D29" t="s">
        <v>304</v>
      </c>
      <c r="E29" t="s">
        <v>313</v>
      </c>
      <c r="F29" t="s">
        <v>337</v>
      </c>
      <c r="G29">
        <v>8</v>
      </c>
      <c r="H29">
        <v>1500</v>
      </c>
      <c r="I29">
        <v>12000</v>
      </c>
      <c r="J29" t="s">
        <v>340</v>
      </c>
    </row>
    <row r="30" spans="1:10">
      <c r="A30" t="s">
        <v>378</v>
      </c>
      <c r="B30" s="11">
        <v>46055</v>
      </c>
      <c r="C30" t="s">
        <v>319</v>
      </c>
      <c r="D30" t="s">
        <v>306</v>
      </c>
      <c r="E30" t="s">
        <v>317</v>
      </c>
      <c r="F30" t="s">
        <v>333</v>
      </c>
      <c r="G30">
        <v>4</v>
      </c>
      <c r="H30">
        <v>18000</v>
      </c>
      <c r="I30">
        <v>72000</v>
      </c>
      <c r="J30" t="s">
        <v>338</v>
      </c>
    </row>
    <row r="31" spans="1:10">
      <c r="A31" t="s">
        <v>379</v>
      </c>
      <c r="B31" s="11">
        <v>46056</v>
      </c>
      <c r="C31" t="s">
        <v>322</v>
      </c>
      <c r="D31" t="s">
        <v>303</v>
      </c>
      <c r="E31" t="s">
        <v>312</v>
      </c>
      <c r="F31" t="s">
        <v>337</v>
      </c>
      <c r="G31">
        <v>15</v>
      </c>
      <c r="H31">
        <v>2500</v>
      </c>
      <c r="I31">
        <v>37500</v>
      </c>
      <c r="J31" t="s">
        <v>334</v>
      </c>
    </row>
    <row r="32" spans="1:10">
      <c r="A32" t="s">
        <v>380</v>
      </c>
      <c r="B32" s="11">
        <v>46057</v>
      </c>
      <c r="C32" t="s">
        <v>321</v>
      </c>
      <c r="D32" t="s">
        <v>305</v>
      </c>
      <c r="E32" t="s">
        <v>314</v>
      </c>
      <c r="F32" t="s">
        <v>333</v>
      </c>
      <c r="G32">
        <v>2</v>
      </c>
      <c r="H32">
        <v>55000</v>
      </c>
      <c r="I32">
        <v>110000</v>
      </c>
      <c r="J32" t="s">
        <v>338</v>
      </c>
    </row>
    <row r="33" spans="1:10">
      <c r="A33" t="s">
        <v>381</v>
      </c>
      <c r="B33" s="11">
        <v>46058</v>
      </c>
      <c r="C33" t="s">
        <v>320</v>
      </c>
      <c r="D33" t="s">
        <v>304</v>
      </c>
      <c r="E33" t="s">
        <v>316</v>
      </c>
      <c r="F33" t="s">
        <v>337</v>
      </c>
      <c r="G33">
        <v>20</v>
      </c>
      <c r="H33">
        <v>800</v>
      </c>
      <c r="I33">
        <v>16000</v>
      </c>
      <c r="J33" t="s">
        <v>340</v>
      </c>
    </row>
    <row r="34" spans="1:10">
      <c r="A34" t="s">
        <v>382</v>
      </c>
      <c r="B34" s="11">
        <v>46059</v>
      </c>
      <c r="C34" t="s">
        <v>319</v>
      </c>
      <c r="D34" t="s">
        <v>303</v>
      </c>
      <c r="E34" t="s">
        <v>315</v>
      </c>
      <c r="F34" t="s">
        <v>333</v>
      </c>
      <c r="G34">
        <v>2</v>
      </c>
      <c r="H34">
        <v>12000</v>
      </c>
      <c r="I34">
        <v>24000</v>
      </c>
      <c r="J34" t="s">
        <v>334</v>
      </c>
    </row>
    <row r="35" spans="1:10">
      <c r="A35" t="s">
        <v>383</v>
      </c>
      <c r="B35" s="11">
        <v>46060</v>
      </c>
      <c r="C35" t="s">
        <v>322</v>
      </c>
      <c r="D35" t="s">
        <v>306</v>
      </c>
      <c r="E35" t="s">
        <v>313</v>
      </c>
      <c r="F35" t="s">
        <v>337</v>
      </c>
      <c r="G35">
        <v>12</v>
      </c>
      <c r="H35">
        <v>1500</v>
      </c>
      <c r="I35">
        <v>18000</v>
      </c>
      <c r="J35" t="s">
        <v>338</v>
      </c>
    </row>
    <row r="36" spans="1:10">
      <c r="A36" t="s">
        <v>384</v>
      </c>
      <c r="B36" s="11">
        <v>46061</v>
      </c>
      <c r="C36" t="s">
        <v>321</v>
      </c>
      <c r="D36" t="s">
        <v>304</v>
      </c>
      <c r="E36" t="s">
        <v>317</v>
      </c>
      <c r="F36" t="s">
        <v>333</v>
      </c>
      <c r="G36">
        <v>3</v>
      </c>
      <c r="H36">
        <v>18000</v>
      </c>
      <c r="I36">
        <v>54000</v>
      </c>
      <c r="J36" t="s">
        <v>334</v>
      </c>
    </row>
    <row r="37" spans="1:10">
      <c r="A37" t="s">
        <v>385</v>
      </c>
      <c r="B37" s="11">
        <v>46062</v>
      </c>
      <c r="C37" t="s">
        <v>320</v>
      </c>
      <c r="D37" t="s">
        <v>305</v>
      </c>
      <c r="E37" t="s">
        <v>312</v>
      </c>
      <c r="F37" t="s">
        <v>337</v>
      </c>
      <c r="G37">
        <v>7</v>
      </c>
      <c r="H37">
        <v>2500</v>
      </c>
      <c r="I37">
        <v>17500</v>
      </c>
      <c r="J37" t="s">
        <v>340</v>
      </c>
    </row>
    <row r="38" spans="1:10">
      <c r="A38" t="s">
        <v>386</v>
      </c>
      <c r="B38" s="11">
        <v>46063</v>
      </c>
      <c r="C38" t="s">
        <v>319</v>
      </c>
      <c r="D38" t="s">
        <v>305</v>
      </c>
      <c r="E38" t="s">
        <v>314</v>
      </c>
      <c r="F38" t="s">
        <v>333</v>
      </c>
      <c r="G38">
        <v>2</v>
      </c>
      <c r="H38">
        <v>55000</v>
      </c>
      <c r="I38">
        <v>110000</v>
      </c>
      <c r="J38" t="s">
        <v>338</v>
      </c>
    </row>
    <row r="39" spans="1:10">
      <c r="A39" t="s">
        <v>387</v>
      </c>
      <c r="B39" s="11">
        <v>46064</v>
      </c>
      <c r="C39" t="s">
        <v>322</v>
      </c>
      <c r="D39" t="s">
        <v>303</v>
      </c>
      <c r="E39" t="s">
        <v>316</v>
      </c>
      <c r="F39" t="s">
        <v>337</v>
      </c>
      <c r="G39">
        <v>30</v>
      </c>
      <c r="H39">
        <v>800</v>
      </c>
      <c r="I39">
        <v>24000</v>
      </c>
      <c r="J39" t="s">
        <v>334</v>
      </c>
    </row>
    <row r="40" spans="1:10">
      <c r="A40" t="s">
        <v>388</v>
      </c>
      <c r="B40" s="11">
        <v>46065</v>
      </c>
      <c r="C40" t="s">
        <v>321</v>
      </c>
      <c r="D40" t="s">
        <v>306</v>
      </c>
      <c r="E40" t="s">
        <v>315</v>
      </c>
      <c r="F40" t="s">
        <v>333</v>
      </c>
      <c r="G40">
        <v>4</v>
      </c>
      <c r="H40">
        <v>12000</v>
      </c>
      <c r="I40">
        <v>48000</v>
      </c>
      <c r="J40" t="s">
        <v>340</v>
      </c>
    </row>
    <row r="41" spans="1:10">
      <c r="A41" t="s">
        <v>389</v>
      </c>
      <c r="B41" s="11">
        <v>46066</v>
      </c>
      <c r="C41" t="s">
        <v>320</v>
      </c>
      <c r="D41" t="s">
        <v>304</v>
      </c>
      <c r="E41" t="s">
        <v>313</v>
      </c>
      <c r="F41" t="s">
        <v>337</v>
      </c>
      <c r="G41">
        <v>15</v>
      </c>
      <c r="H41">
        <v>1500</v>
      </c>
      <c r="I41">
        <v>22500</v>
      </c>
      <c r="J41" t="s">
        <v>338</v>
      </c>
    </row>
    <row r="42" spans="1:10">
      <c r="A42" t="s">
        <v>390</v>
      </c>
      <c r="B42" s="11">
        <v>46067</v>
      </c>
      <c r="C42" t="s">
        <v>319</v>
      </c>
      <c r="D42" t="s">
        <v>304</v>
      </c>
      <c r="E42" t="s">
        <v>317</v>
      </c>
      <c r="F42" t="s">
        <v>333</v>
      </c>
      <c r="G42">
        <v>2</v>
      </c>
      <c r="H42">
        <v>18000</v>
      </c>
      <c r="I42">
        <v>36000</v>
      </c>
      <c r="J42" t="s">
        <v>334</v>
      </c>
    </row>
    <row r="43" spans="1:10">
      <c r="A43" t="s">
        <v>391</v>
      </c>
      <c r="B43" s="11">
        <v>46068</v>
      </c>
      <c r="C43" t="s">
        <v>322</v>
      </c>
      <c r="D43" t="s">
        <v>305</v>
      </c>
      <c r="E43" t="s">
        <v>312</v>
      </c>
      <c r="F43" t="s">
        <v>337</v>
      </c>
      <c r="G43">
        <v>10</v>
      </c>
      <c r="H43">
        <v>2500</v>
      </c>
      <c r="I43">
        <v>25000</v>
      </c>
      <c r="J43" t="s">
        <v>338</v>
      </c>
    </row>
    <row r="44" spans="1:10">
      <c r="A44" t="s">
        <v>392</v>
      </c>
      <c r="B44" s="11">
        <v>46069</v>
      </c>
      <c r="C44" t="s">
        <v>321</v>
      </c>
      <c r="D44" t="s">
        <v>303</v>
      </c>
      <c r="E44" t="s">
        <v>314</v>
      </c>
      <c r="F44" t="s">
        <v>333</v>
      </c>
      <c r="G44">
        <v>3</v>
      </c>
      <c r="H44">
        <v>55000</v>
      </c>
      <c r="I44">
        <v>165000</v>
      </c>
      <c r="J44" t="s">
        <v>334</v>
      </c>
    </row>
    <row r="45" spans="1:10">
      <c r="A45" t="s">
        <v>393</v>
      </c>
      <c r="B45" s="11">
        <v>46070</v>
      </c>
      <c r="C45" t="s">
        <v>320</v>
      </c>
      <c r="D45" t="s">
        <v>306</v>
      </c>
      <c r="E45" t="s">
        <v>316</v>
      </c>
      <c r="F45" t="s">
        <v>337</v>
      </c>
      <c r="G45">
        <v>22</v>
      </c>
      <c r="H45">
        <v>800</v>
      </c>
      <c r="I45">
        <v>17600</v>
      </c>
      <c r="J45" t="s">
        <v>340</v>
      </c>
    </row>
    <row r="46" spans="1:10">
      <c r="A46" t="s">
        <v>394</v>
      </c>
      <c r="B46" s="11">
        <v>46071</v>
      </c>
      <c r="C46" t="s">
        <v>319</v>
      </c>
      <c r="D46" t="s">
        <v>303</v>
      </c>
      <c r="E46" t="s">
        <v>315</v>
      </c>
      <c r="F46" t="s">
        <v>333</v>
      </c>
      <c r="G46">
        <v>5</v>
      </c>
      <c r="H46">
        <v>12000</v>
      </c>
      <c r="I46">
        <v>60000</v>
      </c>
      <c r="J46" t="s">
        <v>338</v>
      </c>
    </row>
    <row r="47" spans="1:10">
      <c r="A47" t="s">
        <v>395</v>
      </c>
      <c r="B47" s="11">
        <v>46072</v>
      </c>
      <c r="C47" t="s">
        <v>322</v>
      </c>
      <c r="D47" t="s">
        <v>304</v>
      </c>
      <c r="E47" t="s">
        <v>313</v>
      </c>
      <c r="F47" t="s">
        <v>337</v>
      </c>
      <c r="G47">
        <v>11</v>
      </c>
      <c r="H47">
        <v>1500</v>
      </c>
      <c r="I47">
        <v>16500</v>
      </c>
      <c r="J47" t="s">
        <v>334</v>
      </c>
    </row>
    <row r="48" spans="1:10">
      <c r="A48" t="s">
        <v>396</v>
      </c>
      <c r="B48" s="11">
        <v>46073</v>
      </c>
      <c r="C48" t="s">
        <v>321</v>
      </c>
      <c r="D48" t="s">
        <v>305</v>
      </c>
      <c r="E48" t="s">
        <v>317</v>
      </c>
      <c r="F48" t="s">
        <v>333</v>
      </c>
      <c r="G48">
        <v>2</v>
      </c>
      <c r="H48">
        <v>18000</v>
      </c>
      <c r="I48">
        <v>36000</v>
      </c>
      <c r="J48" t="s">
        <v>340</v>
      </c>
    </row>
    <row r="49" spans="1:10">
      <c r="A49" t="s">
        <v>397</v>
      </c>
      <c r="B49" s="11">
        <v>46074</v>
      </c>
      <c r="C49" t="s">
        <v>320</v>
      </c>
      <c r="D49" t="s">
        <v>306</v>
      </c>
      <c r="E49" t="s">
        <v>312</v>
      </c>
      <c r="F49" t="s">
        <v>337</v>
      </c>
      <c r="G49">
        <v>9</v>
      </c>
      <c r="H49">
        <v>2500</v>
      </c>
      <c r="I49">
        <v>22500</v>
      </c>
      <c r="J49" t="s">
        <v>338</v>
      </c>
    </row>
    <row r="50" spans="1:10">
      <c r="A50" t="s">
        <v>398</v>
      </c>
      <c r="B50" s="11">
        <v>46075</v>
      </c>
      <c r="C50" t="s">
        <v>319</v>
      </c>
      <c r="D50" t="s">
        <v>306</v>
      </c>
      <c r="E50" t="s">
        <v>314</v>
      </c>
      <c r="F50" t="s">
        <v>333</v>
      </c>
      <c r="G50">
        <v>2</v>
      </c>
      <c r="H50">
        <v>55000</v>
      </c>
      <c r="I50">
        <v>110000</v>
      </c>
      <c r="J50" t="s">
        <v>334</v>
      </c>
    </row>
    <row r="51" spans="1:10">
      <c r="A51" t="s">
        <v>399</v>
      </c>
      <c r="B51" s="11">
        <v>46076</v>
      </c>
      <c r="C51" t="s">
        <v>322</v>
      </c>
      <c r="D51" t="s">
        <v>303</v>
      </c>
      <c r="E51" t="s">
        <v>316</v>
      </c>
      <c r="F51" t="s">
        <v>337</v>
      </c>
      <c r="G51">
        <v>28</v>
      </c>
      <c r="H51">
        <v>800</v>
      </c>
      <c r="I51">
        <v>22400</v>
      </c>
      <c r="J51" t="s">
        <v>338</v>
      </c>
    </row>
  </sheetData>
  <dataValidations count="1">
    <dataValidation type="list" allowBlank="1" showInputMessage="1" showErrorMessage="1" sqref="M18:M20">
      <formula1>$J:$J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H13" sqref="H13"/>
    </sheetView>
  </sheetViews>
  <sheetFormatPr defaultColWidth="9" defaultRowHeight="14" outlineLevelRow="6" outlineLevelCol="5"/>
  <cols>
    <col min="1" max="1" width="14.9083333333333" customWidth="1"/>
  </cols>
  <sheetData>
    <row r="1" spans="1:6">
      <c r="A1" t="s">
        <v>295</v>
      </c>
      <c r="B1">
        <v>35000</v>
      </c>
    </row>
    <row r="2" spans="1:6">
      <c r="A2" t="s">
        <v>400</v>
      </c>
      <c r="B2">
        <v>3000</v>
      </c>
    </row>
    <row r="3" spans="1:6">
      <c r="A3" t="s">
        <v>401</v>
      </c>
      <c r="B3">
        <v>232</v>
      </c>
    </row>
    <row r="4" spans="1:6">
      <c r="A4" t="s">
        <v>293</v>
      </c>
      <c r="B4">
        <v>234</v>
      </c>
    </row>
    <row r="5" spans="1:6">
      <c r="A5" t="s">
        <v>402</v>
      </c>
      <c r="B5">
        <v>545</v>
      </c>
      <c r="E5" t="s">
        <v>291</v>
      </c>
    </row>
    <row r="6" spans="1:6">
      <c r="E6" t="s">
        <v>403</v>
      </c>
      <c r="F6" t="s">
        <v>400</v>
      </c>
    </row>
    <row r="7" spans="1:6">
      <c r="E7" t="s">
        <v>404</v>
      </c>
    </row>
  </sheetData>
  <dataValidations count="1">
    <dataValidation type="list" allowBlank="1" showInputMessage="1" showErrorMessage="1" sqref="F6">
      <formula1>$A$1:$A$5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5" sqref="D15"/>
    </sheetView>
  </sheetViews>
  <sheetFormatPr defaultColWidth="9" defaultRowHeight="14" outlineLevelCol="3"/>
  <sheetData>
    <row r="1" spans="1:4">
      <c r="A1" t="s">
        <v>405</v>
      </c>
      <c r="D1" s="19" t="s">
        <v>406</v>
      </c>
    </row>
    <row r="2" spans="1:4">
      <c r="A2" t="s">
        <v>407</v>
      </c>
      <c r="B2" t="s">
        <v>408</v>
      </c>
      <c r="D2" s="19" t="s">
        <v>409</v>
      </c>
    </row>
    <row r="3" spans="1:4">
      <c r="A3" t="s">
        <v>410</v>
      </c>
      <c r="B3" t="s">
        <v>411</v>
      </c>
      <c r="D3" s="19" t="s">
        <v>412</v>
      </c>
    </row>
    <row r="4" spans="1:4">
      <c r="D4" s="19" t="s">
        <v>413</v>
      </c>
    </row>
    <row r="5" spans="1:4">
      <c r="D5" s="19" t="s">
        <v>414</v>
      </c>
    </row>
    <row r="6" spans="1:4">
      <c r="D6" s="19" t="s">
        <v>415</v>
      </c>
    </row>
    <row r="7" spans="1:4">
      <c r="D7" s="19" t="s">
        <v>416</v>
      </c>
    </row>
    <row r="8" spans="1:4">
      <c r="D8" s="19" t="s">
        <v>417</v>
      </c>
    </row>
    <row r="9" spans="1:4">
      <c r="D9" s="19" t="s">
        <v>418</v>
      </c>
    </row>
    <row r="10" spans="1:4">
      <c r="D10" s="19" t="s">
        <v>419</v>
      </c>
    </row>
    <row r="11" spans="1:4">
      <c r="D11" s="19" t="s">
        <v>420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4" outlineLevelRow="1"/>
  <sheetData>
    <row r="1" spans="1:1">
      <c r="A1" t="s">
        <v>421</v>
      </c>
    </row>
    <row r="2" spans="1:1">
      <c r="A2" s="60" t="s">
        <v>422</v>
      </c>
    </row>
  </sheetData>
  <hyperlinks>
    <hyperlink ref="A2" r:id="rId1" display="Monisha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"/>
  <sheetViews>
    <sheetView topLeftCell="A65" workbookViewId="0">
      <selection activeCell="C80" sqref="C80"/>
    </sheetView>
  </sheetViews>
  <sheetFormatPr defaultColWidth="9" defaultRowHeight="14"/>
  <cols>
    <col min="1" max="1" width="9.18333333333333" style="27" customWidth="1"/>
    <col min="2" max="2" width="43.9083333333333" customWidth="1"/>
    <col min="3" max="3" width="23.5416666666667" customWidth="1"/>
    <col min="6" max="6" width="17.6333333333333" customWidth="1"/>
    <col min="10" max="10" width="17.3666666666667" customWidth="1"/>
  </cols>
  <sheetData>
    <row r="1" spans="1:6">
      <c r="A1" s="28" t="s">
        <v>423</v>
      </c>
      <c r="B1" s="29" t="s">
        <v>424</v>
      </c>
      <c r="C1" s="29" t="s">
        <v>425</v>
      </c>
      <c r="D1" s="20"/>
    </row>
    <row r="2" spans="1:6">
      <c r="A2" s="30" t="s">
        <v>426</v>
      </c>
      <c r="B2" s="31" t="str">
        <f>LEFT(A2,3)</f>
        <v>+91</v>
      </c>
      <c r="C2" s="31" t="str">
        <f>RIGHT(A2,10)</f>
        <v>8989889989</v>
      </c>
      <c r="F2" t="s">
        <v>427</v>
      </c>
    </row>
    <row r="3" spans="1:6">
      <c r="A3" s="30" t="s">
        <v>426</v>
      </c>
      <c r="B3" s="31" t="str">
        <f t="shared" ref="B3:B7" si="0">LEFT(A3,3)</f>
        <v>+91</v>
      </c>
      <c r="C3" s="31" t="str">
        <f t="shared" ref="C3:C7" si="1">RIGHT(A3,10)</f>
        <v>8989889989</v>
      </c>
      <c r="F3" t="s">
        <v>428</v>
      </c>
    </row>
    <row r="4" spans="1:6">
      <c r="A4" s="30" t="s">
        <v>426</v>
      </c>
      <c r="B4" s="31" t="str">
        <f t="shared" si="0"/>
        <v>+91</v>
      </c>
      <c r="C4" s="31" t="str">
        <f t="shared" si="1"/>
        <v>8989889989</v>
      </c>
      <c r="F4" t="s">
        <v>429</v>
      </c>
    </row>
    <row r="5" spans="1:6">
      <c r="A5" s="30" t="s">
        <v>426</v>
      </c>
      <c r="B5" s="31" t="str">
        <f t="shared" si="0"/>
        <v>+91</v>
      </c>
      <c r="C5" s="31" t="str">
        <f t="shared" si="1"/>
        <v>8989889989</v>
      </c>
    </row>
    <row r="6" spans="1:6">
      <c r="A6" s="30" t="s">
        <v>426</v>
      </c>
      <c r="B6" s="31" t="str">
        <f t="shared" si="0"/>
        <v>+91</v>
      </c>
      <c r="C6" s="31" t="str">
        <f t="shared" si="1"/>
        <v>8989889989</v>
      </c>
    </row>
    <row r="7" spans="1:6">
      <c r="A7" s="30" t="s">
        <v>426</v>
      </c>
      <c r="B7" s="31" t="str">
        <f t="shared" si="0"/>
        <v>+91</v>
      </c>
      <c r="C7" s="31" t="str">
        <f t="shared" si="1"/>
        <v>8989889989</v>
      </c>
    </row>
    <row r="8" spans="1:6">
      <c r="A8" s="28"/>
      <c r="B8" s="31"/>
      <c r="C8" s="31"/>
    </row>
    <row r="9" spans="1:6">
      <c r="A9" s="30" t="s">
        <v>430</v>
      </c>
      <c r="B9" s="31"/>
      <c r="C9" s="31"/>
    </row>
    <row r="10" spans="1:6">
      <c r="A10" s="30" t="s">
        <v>431</v>
      </c>
      <c r="B10" s="31" t="str">
        <f>MID(A10,5,1)</f>
        <v>E</v>
      </c>
      <c r="C10" s="31"/>
    </row>
    <row r="11" spans="1:6">
      <c r="A11" s="30" t="s">
        <v>432</v>
      </c>
      <c r="B11" s="31" t="str">
        <f>MID(A11,5,2)</f>
        <v>SS</v>
      </c>
      <c r="C11" s="31"/>
    </row>
    <row r="13" spans="1:6">
      <c r="A13" s="32" t="s">
        <v>433</v>
      </c>
      <c r="B13" s="33"/>
      <c r="C13" s="34" t="s">
        <v>434</v>
      </c>
      <c r="D13" s="33" t="str">
        <f>_xlfn.TEXTBEFORE(C13," ",)</f>
        <v>Sundar</v>
      </c>
      <c r="F13" t="str">
        <f>_xlfn.TEXTBEFORE(C13," ")</f>
        <v>Sundar</v>
      </c>
    </row>
    <row r="14" spans="1:6">
      <c r="A14" s="32" t="s">
        <v>435</v>
      </c>
      <c r="B14" s="33"/>
      <c r="C14" s="33"/>
      <c r="D14" s="33" t="str">
        <f>_xlfn.TEXTAFTER(C13," ",)</f>
        <v>Lingam</v>
      </c>
    </row>
    <row r="15" spans="1:6">
      <c r="A15" s="35"/>
      <c r="B15" s="33"/>
      <c r="C15" s="33"/>
      <c r="D15" s="33"/>
    </row>
    <row r="16" spans="1:6">
      <c r="A16" s="32" t="s">
        <v>436</v>
      </c>
      <c r="B16" s="34" t="s">
        <v>437</v>
      </c>
      <c r="C16" s="33"/>
      <c r="D16" s="33"/>
    </row>
    <row r="17" spans="1:10">
      <c r="A17" s="32" t="s">
        <v>438</v>
      </c>
      <c r="B17" s="33" t="str">
        <f>_xlfn.TEXTAFTER(B16," ")</f>
        <v>Lingam Chennai</v>
      </c>
      <c r="C17" s="33"/>
      <c r="D17" s="33"/>
      <c r="F17" t="str">
        <f>_xlfn.TEXTAFTER(B16," ")</f>
        <v>Lingam Chennai</v>
      </c>
      <c r="G17" t="str">
        <f>_xlfn.TEXTAFTER(B16," ",2)</f>
        <v>Chennai</v>
      </c>
    </row>
    <row r="18" spans="1:10">
      <c r="A18" s="32" t="s">
        <v>439</v>
      </c>
      <c r="B18" s="33" t="str">
        <f>_xlfn.TEXTAFTER(B16," ",2)</f>
        <v>Chennai</v>
      </c>
      <c r="C18" s="33"/>
      <c r="D18" s="33"/>
    </row>
    <row r="19" spans="1:10">
      <c r="A19" s="32" t="s">
        <v>440</v>
      </c>
      <c r="B19" s="33" t="e">
        <f>_xlfn.TEXTAFTER(B16,",")</f>
        <v>#N/A</v>
      </c>
      <c r="C19" s="33" t="str">
        <f>_xlfn.TEXTAFTER(B16,",",,,,"no")</f>
        <v>no</v>
      </c>
      <c r="D19" s="33"/>
    </row>
    <row r="21" spans="1:10">
      <c r="A21" s="36" t="s">
        <v>441</v>
      </c>
      <c r="B21" s="37"/>
      <c r="C21" s="37"/>
      <c r="D21" s="37"/>
    </row>
    <row r="22" spans="1:10">
      <c r="A22" s="38" t="s">
        <v>442</v>
      </c>
      <c r="B22" s="37" t="str" cm="1">
        <f t="array" ref="B22:D22">_xlfn.TEXTSPLIT(A22,",")</f>
        <v>Data science</v>
      </c>
      <c r="C22" s="37" t="str">
        <v>python</v>
      </c>
      <c r="D22" s="37" t="str">
        <v>django</v>
      </c>
      <c r="F22" t="str" cm="1">
        <f t="array" ref="F22:H22">_xlfn.TEXTSPLIT(A22,",")</f>
        <v>Data science</v>
      </c>
      <c r="G22" t="str">
        <v>python</v>
      </c>
      <c r="H22" t="str">
        <v>django</v>
      </c>
    </row>
    <row r="23" spans="1:10">
      <c r="A23" s="38" t="s">
        <v>290</v>
      </c>
      <c r="B23" s="37" t="str" cm="1">
        <f t="array" ref="B23">_xlfn.TEXTSPLIT(A23,",")</f>
        <v>Data science</v>
      </c>
      <c r="C23" s="37"/>
      <c r="D23" s="37"/>
      <c r="F23" t="str" cm="1">
        <f t="array" ref="F23">_xlfn.TEXTSPLIT(A23,",")</f>
        <v>Data science</v>
      </c>
    </row>
    <row r="24" spans="1:10">
      <c r="A24" s="39"/>
      <c r="B24" s="37"/>
      <c r="C24" s="37"/>
      <c r="D24" s="37"/>
    </row>
    <row r="25" spans="1:10">
      <c r="A25" s="39"/>
      <c r="B25" s="37"/>
      <c r="C25" s="37"/>
      <c r="D25" s="37"/>
    </row>
    <row r="26" spans="1:10">
      <c r="A26" s="36" t="s">
        <v>443</v>
      </c>
      <c r="B26" s="37"/>
      <c r="C26" s="37"/>
      <c r="D26" s="37"/>
    </row>
    <row r="27" spans="1:10">
      <c r="A27" s="38" t="s">
        <v>444</v>
      </c>
      <c r="B27" s="37" t="str" cm="1">
        <f t="array" ref="B27:D29">_xlfn.TEXTSPLIT(A27,",","|")</f>
        <v>Data science</v>
      </c>
      <c r="C27" s="37" t="str">
        <v>python</v>
      </c>
      <c r="D27" s="37" t="str">
        <v>django</v>
      </c>
      <c r="F27" t="str" cm="1">
        <f t="array" ref="F27:H29">_xlfn.TEXTSPLIT(A27,",","|")</f>
        <v>Data science</v>
      </c>
      <c r="G27" t="str">
        <v>python</v>
      </c>
      <c r="H27" t="str">
        <v>django</v>
      </c>
      <c r="J27" t="str" cm="1">
        <f t="array" ref="J27:J29">_xlfn.TEXTSPLIT(A27,,"|")</f>
        <v>Data science,python,django</v>
      </c>
    </row>
    <row r="28" spans="1:10">
      <c r="A28" s="39"/>
      <c r="B28" s="37" t="str">
        <v>SQL </v>
      </c>
      <c r="C28" s="37" t="str">
        <v>postgress</v>
      </c>
      <c r="D28" s="37" t="e">
        <v>#N/A</v>
      </c>
      <c r="F28" t="str">
        <v>SQL </v>
      </c>
      <c r="G28" t="str">
        <v>postgress</v>
      </c>
      <c r="H28" t="e">
        <v>#N/A</v>
      </c>
      <c r="J28" t="str">
        <v>SQL ,postgress</v>
      </c>
    </row>
    <row r="29" spans="1:10">
      <c r="A29" s="39"/>
      <c r="B29" s="37" t="str">
        <v>pandas</v>
      </c>
      <c r="C29" s="37" t="str">
        <v>seaborn</v>
      </c>
      <c r="D29" s="37" t="e">
        <v>#N/A</v>
      </c>
      <c r="F29" t="str">
        <v>pandas</v>
      </c>
      <c r="G29" t="str">
        <v>seaborn</v>
      </c>
      <c r="H29" t="e">
        <v>#N/A</v>
      </c>
      <c r="J29" t="str">
        <v>pandas,seaborn</v>
      </c>
    </row>
    <row r="32" spans="1:10">
      <c r="A32" s="40" t="s">
        <v>445</v>
      </c>
      <c r="B32" s="41"/>
      <c r="C32" s="41"/>
      <c r="D32" s="41"/>
      <c r="E32" s="41"/>
    </row>
    <row r="33" spans="1:10">
      <c r="A33" s="42" t="s">
        <v>446</v>
      </c>
      <c r="B33" s="41" t="str" cm="1">
        <f t="array" ref="B33:E33">_xlfn.TEXTSPLIT(A33,",")</f>
        <v>Data science</v>
      </c>
      <c r="C33" s="41" t="str">
        <v/>
      </c>
      <c r="D33" s="41" t="str">
        <v>python</v>
      </c>
      <c r="E33" s="41" t="str">
        <v>django</v>
      </c>
    </row>
    <row r="34" spans="1:10">
      <c r="A34" s="42" t="s">
        <v>446</v>
      </c>
      <c r="B34" s="41" t="str" cm="1">
        <f t="array" ref="B34:D34">_xlfn.TEXTSPLIT(A34,",",,TRUE)</f>
        <v>Data science</v>
      </c>
      <c r="C34" s="41" t="str">
        <v>python</v>
      </c>
      <c r="D34" s="41" t="str">
        <v>django</v>
      </c>
      <c r="E34" s="41"/>
    </row>
    <row r="37" spans="1:10">
      <c r="A37" s="43" t="s">
        <v>447</v>
      </c>
      <c r="B37" s="44"/>
      <c r="C37" s="44"/>
      <c r="D37" s="44"/>
      <c r="E37" s="44"/>
    </row>
    <row r="38" spans="1:10">
      <c r="A38" s="45" t="s">
        <v>448</v>
      </c>
      <c r="B38" s="46" t="s">
        <v>449</v>
      </c>
      <c r="C38" s="44"/>
      <c r="D38" s="44"/>
      <c r="E38" s="44"/>
    </row>
    <row r="39" spans="1:10">
      <c r="A39" s="45" t="s">
        <v>447</v>
      </c>
      <c r="B39" s="46" t="s">
        <v>450</v>
      </c>
      <c r="C39" s="44"/>
      <c r="D39" s="44"/>
      <c r="E39" s="44"/>
    </row>
    <row r="40" spans="1:10">
      <c r="A40" s="45" t="s">
        <v>451</v>
      </c>
      <c r="B40" s="46" t="s">
        <v>452</v>
      </c>
      <c r="C40" s="44"/>
      <c r="D40" s="44"/>
      <c r="E40" s="44"/>
    </row>
    <row r="41" spans="1:10">
      <c r="A41" s="47"/>
      <c r="B41" s="44"/>
      <c r="C41" s="44"/>
      <c r="D41" s="44"/>
      <c r="E41" s="44"/>
    </row>
    <row r="42" spans="1:10">
      <c r="A42" s="45" t="s">
        <v>453</v>
      </c>
      <c r="B42" s="44"/>
      <c r="C42" s="44"/>
      <c r="D42" s="44"/>
      <c r="E42" s="44"/>
    </row>
    <row r="43" spans="1:10">
      <c r="A43" s="45" t="s">
        <v>454</v>
      </c>
      <c r="B43" s="46" t="s">
        <v>455</v>
      </c>
      <c r="C43" s="46" t="s">
        <v>448</v>
      </c>
      <c r="D43" s="46" t="s">
        <v>447</v>
      </c>
      <c r="E43" s="46" t="s">
        <v>456</v>
      </c>
      <c r="F43">
        <f>FIND(A44,B44)</f>
        <v>11</v>
      </c>
    </row>
    <row r="44" spans="1:10">
      <c r="A44" s="45" t="s">
        <v>457</v>
      </c>
      <c r="B44" s="46" t="s">
        <v>458</v>
      </c>
      <c r="C44" s="44">
        <f>FIND(A44,B44)</f>
        <v>11</v>
      </c>
      <c r="D44" s="44">
        <f>SEARCH(A44,B44)</f>
        <v>11</v>
      </c>
      <c r="E44" s="44">
        <f>LEN(B44)</f>
        <v>44</v>
      </c>
      <c r="G44">
        <f>FIND(A44,B44)</f>
        <v>11</v>
      </c>
    </row>
    <row r="45" spans="1:10">
      <c r="A45" s="45" t="s">
        <v>459</v>
      </c>
      <c r="B45" s="46" t="s">
        <v>458</v>
      </c>
      <c r="C45" s="44" t="e">
        <f>FIND(A45,B45)</f>
        <v>#VALUE!</v>
      </c>
      <c r="D45" s="44">
        <f>SEARCH(A45,B45)</f>
        <v>11</v>
      </c>
      <c r="E45" s="44">
        <f>LEN(B45)</f>
        <v>44</v>
      </c>
    </row>
    <row r="46" spans="1:10">
      <c r="A46" s="45" t="s">
        <v>460</v>
      </c>
      <c r="B46" s="46" t="s">
        <v>461</v>
      </c>
      <c r="C46" s="44">
        <f>FIND(A46,B46)</f>
        <v>33</v>
      </c>
      <c r="D46" s="44">
        <f>SEARCH(A46,B46)</f>
        <v>1</v>
      </c>
      <c r="E46" s="44"/>
    </row>
    <row r="47" spans="1:10">
      <c r="B47" s="20"/>
    </row>
    <row r="48" spans="1:10">
      <c r="A48" s="48" t="s">
        <v>462</v>
      </c>
      <c r="B48" s="48" t="s">
        <v>463</v>
      </c>
      <c r="C48" s="49" t="s">
        <v>464</v>
      </c>
      <c r="D48" s="49" t="s">
        <v>465</v>
      </c>
      <c r="E48" s="49" t="s">
        <v>466</v>
      </c>
      <c r="F48" s="50" t="str">
        <f>CONCATENATE(D48," ",E48,D48)</f>
        <v>Sundar LingamSundar</v>
      </c>
      <c r="G48" s="50"/>
      <c r="H48" s="50" t="str">
        <f>CONCATENATE(D48," ",E48,F48,B48)</f>
        <v>Sundar LingamSundar LingamSundarConcatenate</v>
      </c>
      <c r="I48" s="50"/>
      <c r="J48" s="50"/>
    </row>
    <row r="49" spans="1:10">
      <c r="A49" s="48" t="s">
        <v>467</v>
      </c>
      <c r="B49" s="48" t="s">
        <v>468</v>
      </c>
      <c r="C49" s="49" t="s">
        <v>469</v>
      </c>
      <c r="D49" s="49" t="s">
        <v>465</v>
      </c>
      <c r="E49" s="49" t="s">
        <v>466</v>
      </c>
      <c r="F49" s="50" t="str">
        <f>_xlfn.CONCAT(D49," ",E49)</f>
        <v>Sundar Lingam</v>
      </c>
      <c r="G49" s="50"/>
      <c r="H49" s="50" t="str">
        <f>_xlfn.CONCAT(D49:F49)</f>
        <v>SundarLingamSundar Lingam</v>
      </c>
      <c r="I49" s="50"/>
      <c r="J49" s="50"/>
    </row>
    <row r="50" spans="1:10">
      <c r="A50" s="48" t="s">
        <v>470</v>
      </c>
      <c r="B50" s="48" t="s">
        <v>471</v>
      </c>
      <c r="C50" s="49" t="s">
        <v>472</v>
      </c>
      <c r="D50" s="49" t="s">
        <v>465</v>
      </c>
      <c r="E50" s="49" t="s">
        <v>466</v>
      </c>
      <c r="F50" s="50" t="str">
        <f>_xlfn.TEXTJOIN(" ",TRUE,E50,D50)</f>
        <v>Lingam Sundar</v>
      </c>
      <c r="G50" s="50"/>
      <c r="H50" s="50"/>
      <c r="I50" s="50"/>
      <c r="J50" s="50"/>
    </row>
    <row r="51" spans="1:10">
      <c r="A51" s="48" t="s">
        <v>473</v>
      </c>
      <c r="B51" s="48" t="s">
        <v>474</v>
      </c>
      <c r="C51" s="49" t="s">
        <v>475</v>
      </c>
      <c r="D51" s="49" t="s">
        <v>465</v>
      </c>
      <c r="E51" s="49" t="s">
        <v>466</v>
      </c>
      <c r="F51" s="50" t="str">
        <f>D51&amp;E51</f>
        <v>SundarLingam</v>
      </c>
      <c r="G51" s="50" t="str">
        <f>E51&amp;" "&amp;D51</f>
        <v>Lingam Sundar</v>
      </c>
      <c r="H51" s="50"/>
      <c r="I51" s="50"/>
      <c r="J51" s="50"/>
    </row>
    <row r="52" spans="1:10">
      <c r="A52" s="51"/>
      <c r="B52" s="50"/>
      <c r="C52" s="50"/>
      <c r="D52" s="50"/>
      <c r="E52" s="50"/>
      <c r="F52" s="50"/>
      <c r="G52" s="50"/>
      <c r="H52" s="50"/>
      <c r="I52" s="50"/>
      <c r="J52" s="50"/>
    </row>
    <row r="53" spans="1:10">
      <c r="A53" s="51"/>
      <c r="B53" s="50"/>
      <c r="C53" s="50" t="str">
        <f>CONCATENATE(D48," ",E48)</f>
        <v>Sundar Lingam</v>
      </c>
      <c r="D53" s="50"/>
      <c r="E53" s="50" t="str">
        <f>CONCATENATE(E48," ",D48)</f>
        <v>Lingam Sundar</v>
      </c>
      <c r="F53" s="50"/>
      <c r="G53" s="50"/>
      <c r="H53" s="50"/>
      <c r="I53" s="50"/>
      <c r="J53" s="50"/>
    </row>
    <row r="54" spans="1:10">
      <c r="A54" s="51"/>
      <c r="B54" s="50"/>
      <c r="C54" s="50" t="str">
        <f>_xlfn.CONCAT(D48,E48)</f>
        <v>SundarLingam</v>
      </c>
      <c r="D54" s="50"/>
      <c r="E54" s="50"/>
      <c r="F54" s="50"/>
      <c r="G54" s="50"/>
      <c r="H54" s="50"/>
      <c r="I54" s="50"/>
      <c r="J54" s="50"/>
    </row>
    <row r="55" spans="1:10">
      <c r="A55" s="51"/>
      <c r="B55" s="50"/>
      <c r="C55" s="50" t="str">
        <f>_xlfn.TEXTJOIN(" ",TRUE,D48,E48)</f>
        <v>Sundar Lingam</v>
      </c>
      <c r="D55" s="50"/>
      <c r="E55" s="50"/>
      <c r="F55" s="50"/>
      <c r="G55" s="50"/>
      <c r="H55" s="50"/>
      <c r="I55" s="50"/>
      <c r="J55" s="50"/>
    </row>
    <row r="56" spans="1:10">
      <c r="A56" s="51"/>
      <c r="B56" s="50"/>
      <c r="C56" s="50" t="str">
        <f>D51&amp;E51</f>
        <v>SundarLingam</v>
      </c>
      <c r="D56" s="50"/>
      <c r="E56" s="50"/>
      <c r="F56" s="50"/>
      <c r="G56" s="50"/>
      <c r="H56" s="50"/>
      <c r="I56" s="50"/>
      <c r="J56" s="50"/>
    </row>
    <row r="57" spans="1:10">
      <c r="A57" s="51" t="s">
        <v>476</v>
      </c>
      <c r="B57" s="50"/>
      <c r="C57" s="50"/>
      <c r="D57" s="50"/>
      <c r="E57" s="50"/>
      <c r="F57" s="50"/>
      <c r="G57" s="50"/>
      <c r="H57" s="50"/>
      <c r="I57" s="50"/>
      <c r="J57" s="50"/>
    </row>
    <row r="58" spans="1:10">
      <c r="A58" s="51" t="s">
        <v>477</v>
      </c>
      <c r="B58" s="50" t="str">
        <f>_xlfn.TEXTJOIN(" ",TRUE,A57:A65)</f>
        <v>Helo I am Sundhar Lingam Also called  sundar</v>
      </c>
      <c r="C58" s="52" t="s">
        <v>478</v>
      </c>
      <c r="D58" s="50"/>
      <c r="E58" s="50"/>
      <c r="F58" s="50"/>
      <c r="G58" s="50"/>
      <c r="H58" s="50"/>
      <c r="I58" s="50"/>
      <c r="J58" s="50"/>
    </row>
    <row r="59" spans="1:10">
      <c r="A59" s="51" t="s">
        <v>479</v>
      </c>
      <c r="B59" s="51" t="str">
        <f>A57&amp;A58&amp;A59</f>
        <v>HeloIam</v>
      </c>
      <c r="C59" s="52" t="s">
        <v>480</v>
      </c>
      <c r="D59" s="50"/>
      <c r="E59" s="50"/>
      <c r="F59" s="50"/>
      <c r="G59" s="50"/>
      <c r="H59" s="50"/>
      <c r="I59" s="50"/>
      <c r="J59" s="50"/>
    </row>
    <row r="60" spans="1:10">
      <c r="A60" s="51" t="s">
        <v>481</v>
      </c>
      <c r="B60" s="50"/>
      <c r="C60" s="52" t="s">
        <v>482</v>
      </c>
      <c r="D60" s="52" t="s">
        <v>483</v>
      </c>
      <c r="E60" s="50"/>
      <c r="F60" s="50"/>
      <c r="G60" s="50"/>
      <c r="H60" s="50"/>
      <c r="I60" s="50"/>
      <c r="J60" s="50"/>
    </row>
    <row r="61" spans="1:10">
      <c r="A61" s="51" t="s">
        <v>466</v>
      </c>
      <c r="B61" s="50"/>
      <c r="C61" s="52" t="s">
        <v>484</v>
      </c>
      <c r="D61" s="50"/>
      <c r="E61" s="50"/>
      <c r="F61" s="50"/>
      <c r="G61" s="50"/>
      <c r="H61" s="50"/>
      <c r="I61" s="50"/>
      <c r="J61" s="50"/>
    </row>
    <row r="62" spans="1:10">
      <c r="A62" s="51"/>
      <c r="B62" s="50"/>
      <c r="C62" s="50"/>
      <c r="D62" s="50"/>
      <c r="E62" s="50"/>
      <c r="F62" s="50"/>
      <c r="G62" s="50"/>
      <c r="H62" s="50"/>
      <c r="I62" s="50"/>
      <c r="J62" s="50"/>
    </row>
    <row r="63" spans="1:10">
      <c r="A63" s="51" t="s">
        <v>485</v>
      </c>
      <c r="B63" s="50"/>
      <c r="C63" s="50"/>
      <c r="D63" s="50"/>
      <c r="E63" s="50"/>
      <c r="F63" s="50"/>
      <c r="G63" s="50"/>
      <c r="H63" s="50"/>
      <c r="I63" s="50"/>
      <c r="J63" s="50"/>
    </row>
    <row r="64" spans="1:10">
      <c r="A64" s="51" t="s">
        <v>486</v>
      </c>
      <c r="B64" s="50"/>
      <c r="C64" s="50"/>
      <c r="D64" s="50"/>
      <c r="E64" s="50"/>
      <c r="F64" s="50"/>
      <c r="G64" s="50"/>
      <c r="H64" s="50"/>
      <c r="I64" s="50"/>
      <c r="J64" s="50"/>
    </row>
    <row r="65" spans="1:10">
      <c r="A65" s="51" t="s">
        <v>487</v>
      </c>
      <c r="B65" s="50"/>
      <c r="C65" s="50"/>
      <c r="D65" s="50"/>
      <c r="E65" s="50"/>
      <c r="F65" s="50"/>
      <c r="G65" s="50"/>
      <c r="H65" s="50"/>
      <c r="I65" s="50"/>
      <c r="J65" s="50"/>
    </row>
    <row r="67" spans="1:10">
      <c r="A67" s="53" t="s">
        <v>488</v>
      </c>
      <c r="B67" s="54" t="s">
        <v>489</v>
      </c>
      <c r="C67" s="55" t="str">
        <f>UPPER(B67)</f>
        <v>BELIEVE YOU CAN AND YOU ARE HALFWAY THERE</v>
      </c>
      <c r="D67" s="55"/>
      <c r="E67" s="56" t="s">
        <v>490</v>
      </c>
    </row>
    <row r="68" spans="1:10">
      <c r="A68" s="53" t="s">
        <v>491</v>
      </c>
      <c r="B68" s="54" t="s">
        <v>492</v>
      </c>
      <c r="C68" s="55" t="str">
        <f>LOWER(B68)</f>
        <v>they key to success is to focus to the goal you want to achieve in you life, not the obstacles</v>
      </c>
      <c r="D68" s="55"/>
      <c r="E68" s="56" t="s">
        <v>493</v>
      </c>
    </row>
    <row r="69" spans="1:10">
      <c r="A69" s="53" t="s">
        <v>494</v>
      </c>
      <c r="B69" s="54" t="s">
        <v>495</v>
      </c>
      <c r="C69" s="55" t="str">
        <f>PROPER(B69)</f>
        <v>Focus On The Goal</v>
      </c>
      <c r="D69" s="55"/>
      <c r="E69" s="56" t="s">
        <v>496</v>
      </c>
    </row>
    <row r="71" s="26" customFormat="1" spans="1:10">
      <c r="A71" s="57" t="s">
        <v>497</v>
      </c>
    </row>
    <row r="72" s="26" customFormat="1" spans="1:10">
      <c r="A72" s="57" t="s">
        <v>498</v>
      </c>
      <c r="B72" s="58" t="s">
        <v>499</v>
      </c>
      <c r="C72" s="26" t="s">
        <v>489</v>
      </c>
      <c r="D72" s="26" t="str">
        <f>REPLACE(C72,9,3,"u")</f>
        <v>Believe u can and you are halfway there</v>
      </c>
      <c r="F72" s="59" t="s">
        <v>500</v>
      </c>
    </row>
    <row r="73" s="26" customFormat="1" spans="1:10">
      <c r="A73" s="57" t="s">
        <v>501</v>
      </c>
      <c r="B73" s="58" t="s">
        <v>502</v>
      </c>
      <c r="C73" s="26" t="str">
        <f>SUBSTITUTE(C72,"you","u",1)</f>
        <v>Believe u can and you are halfway there</v>
      </c>
      <c r="F73" s="59" t="s">
        <v>503</v>
      </c>
      <c r="H73" s="58" t="s">
        <v>504</v>
      </c>
      <c r="I73" s="58" t="s">
        <v>505</v>
      </c>
      <c r="J73" s="26" t="str">
        <f>SUBSTITUTE(H73,"php","python",2)</f>
        <v>php,java,python</v>
      </c>
    </row>
    <row r="76" spans="1:10">
      <c r="F76" s="20" t="s">
        <v>506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opLeftCell="A21" workbookViewId="0">
      <selection activeCell="G36" sqref="G36"/>
    </sheetView>
  </sheetViews>
  <sheetFormatPr defaultColWidth="9" defaultRowHeight="14"/>
  <cols>
    <col min="2" max="2" width="46.1833333333333" customWidth="1"/>
    <col min="3" max="3" width="22.6333333333333" customWidth="1"/>
    <col min="4" max="4" width="19.45" customWidth="1"/>
    <col min="5" max="5" width="10.9083333333333" customWidth="1"/>
    <col min="7" max="8" width="10.8166666666667" customWidth="1"/>
    <col min="10" max="10" width="10.8166666666667" customWidth="1"/>
  </cols>
  <sheetData>
    <row r="1" spans="1:10">
      <c r="A1" s="1" t="s">
        <v>507</v>
      </c>
      <c r="B1" s="2"/>
      <c r="C1" s="3" t="s">
        <v>268</v>
      </c>
      <c r="D1" s="3" t="s">
        <v>508</v>
      </c>
      <c r="E1" s="2"/>
      <c r="F1" s="2"/>
      <c r="G1" s="2"/>
      <c r="H1" s="2"/>
      <c r="I1" s="4"/>
    </row>
    <row r="2" spans="1:10">
      <c r="A2" s="5" t="s">
        <v>509</v>
      </c>
      <c r="B2" s="6" t="s">
        <v>510</v>
      </c>
      <c r="C2" s="7" t="s">
        <v>511</v>
      </c>
      <c r="D2" s="8">
        <f>DATE(2026,9,25)</f>
        <v>46290</v>
      </c>
      <c r="E2" s="9"/>
      <c r="F2" s="9"/>
      <c r="G2" s="9"/>
      <c r="H2" s="9"/>
      <c r="I2" s="10"/>
      <c r="J2" s="11">
        <v>45910</v>
      </c>
    </row>
    <row r="3" spans="1:10">
      <c r="A3" s="5" t="s">
        <v>512</v>
      </c>
      <c r="B3" s="6" t="s">
        <v>513</v>
      </c>
      <c r="C3" s="7" t="s">
        <v>514</v>
      </c>
      <c r="D3" s="12">
        <f>TIME(6,9,15)</f>
        <v>0.256423611111111</v>
      </c>
      <c r="E3" s="7" t="s">
        <v>515</v>
      </c>
      <c r="F3" s="12">
        <f>TIME(21,20,10)</f>
        <v>0.88900462962963</v>
      </c>
      <c r="G3" s="7" t="s">
        <v>516</v>
      </c>
      <c r="H3" s="12"/>
      <c r="I3" s="10"/>
    </row>
    <row r="4" spans="1:10">
      <c r="A4" s="5" t="s">
        <v>517</v>
      </c>
      <c r="B4" s="6" t="s">
        <v>518</v>
      </c>
      <c r="C4" s="7" t="s">
        <v>519</v>
      </c>
      <c r="D4" s="8">
        <f>DATE(2026,9,1)+TIME(1,45,34)</f>
        <v>46266.0733101852</v>
      </c>
      <c r="E4" s="7" t="s">
        <v>520</v>
      </c>
      <c r="F4" s="9"/>
      <c r="G4" s="9"/>
      <c r="H4" s="9"/>
      <c r="I4" s="10"/>
    </row>
    <row r="5" spans="1:10">
      <c r="A5" s="5" t="s">
        <v>521</v>
      </c>
      <c r="B5" s="6" t="s">
        <v>522</v>
      </c>
      <c r="C5" s="7" t="s">
        <v>523</v>
      </c>
      <c r="D5" s="8">
        <f ca="1">TODAY()</f>
        <v>46309</v>
      </c>
      <c r="E5" s="9"/>
      <c r="F5" s="9"/>
      <c r="G5" s="9"/>
      <c r="H5" s="9"/>
      <c r="I5" s="10"/>
    </row>
    <row r="6" spans="1:10">
      <c r="A6" s="13" t="s">
        <v>524</v>
      </c>
      <c r="B6" s="14" t="s">
        <v>525</v>
      </c>
      <c r="C6" s="15" t="s">
        <v>526</v>
      </c>
      <c r="D6" s="16">
        <f ca="1">NOW()</f>
        <v>46309.696412037</v>
      </c>
      <c r="E6" s="17"/>
      <c r="F6" s="17"/>
      <c r="G6" s="17"/>
      <c r="H6" s="17"/>
      <c r="I6" s="18"/>
    </row>
    <row r="8" spans="1:10">
      <c r="A8" s="19" t="s">
        <v>527</v>
      </c>
    </row>
    <row r="10" spans="1:10">
      <c r="A10" s="20" t="s">
        <v>509</v>
      </c>
      <c r="B10" s="20" t="s">
        <v>528</v>
      </c>
      <c r="C10" s="21">
        <v>44996</v>
      </c>
      <c r="D10" t="e">
        <f>DATEVALUE(C10)</f>
        <v>#VALUE!</v>
      </c>
      <c r="F10" s="19" t="s">
        <v>529</v>
      </c>
    </row>
    <row r="11" spans="1:10">
      <c r="A11" s="20" t="s">
        <v>530</v>
      </c>
      <c r="B11" s="20" t="s">
        <v>531</v>
      </c>
      <c r="C11" s="22">
        <v>0.729166666666667</v>
      </c>
      <c r="D11" t="e">
        <f>TIMEVALUE(C11)</f>
        <v>#VALUE!</v>
      </c>
      <c r="E11" s="23">
        <f>MIN(C11)</f>
        <v>0.729166666666667</v>
      </c>
    </row>
    <row r="13" spans="1:10">
      <c r="A13" s="19" t="s">
        <v>532</v>
      </c>
      <c r="B13" s="19" t="s">
        <v>533</v>
      </c>
      <c r="C13" s="21">
        <v>44996</v>
      </c>
      <c r="D13">
        <f>DAY(C13)</f>
        <v>11</v>
      </c>
      <c r="F13">
        <f>DAY(C13)</f>
        <v>11</v>
      </c>
    </row>
    <row r="14" spans="1:10">
      <c r="B14" s="19" t="s">
        <v>534</v>
      </c>
      <c r="D14">
        <f>MONTH(C13)</f>
        <v>3</v>
      </c>
      <c r="F14">
        <f>MONTH(C13)</f>
        <v>3</v>
      </c>
    </row>
    <row r="15" spans="1:10">
      <c r="B15" s="19" t="s">
        <v>535</v>
      </c>
      <c r="D15" s="20">
        <f>YEAR(C13)</f>
        <v>2023</v>
      </c>
      <c r="H15">
        <f>YEAR(C13)</f>
        <v>2023</v>
      </c>
    </row>
    <row r="16" spans="1:10">
      <c r="B16" s="19" t="s">
        <v>536</v>
      </c>
    </row>
    <row r="17" spans="1:10">
      <c r="B17" s="19" t="s">
        <v>537</v>
      </c>
      <c r="C17">
        <f>WEEKNUM(C13,1)</f>
        <v>10</v>
      </c>
      <c r="D17">
        <f>WEEKDAY(C10,2)</f>
        <v>6</v>
      </c>
      <c r="F17">
        <f>WEEKDAY(C13,2)</f>
        <v>6</v>
      </c>
    </row>
    <row r="18" spans="1:10">
      <c r="B18" s="19" t="s">
        <v>538</v>
      </c>
    </row>
    <row r="19" spans="1:10">
      <c r="B19" s="19" t="s">
        <v>539</v>
      </c>
    </row>
    <row r="20" spans="1:10">
      <c r="B20" s="19" t="s">
        <v>540</v>
      </c>
    </row>
    <row r="22" spans="1:10">
      <c r="A22" s="19" t="s">
        <v>541</v>
      </c>
      <c r="C22" s="24" t="s">
        <v>542</v>
      </c>
      <c r="D22" s="24" t="s">
        <v>543</v>
      </c>
    </row>
    <row r="23" spans="1:10">
      <c r="A23" s="19" t="s">
        <v>544</v>
      </c>
      <c r="B23" s="20" t="s">
        <v>545</v>
      </c>
      <c r="C23" s="25">
        <v>46290</v>
      </c>
      <c r="D23" s="25">
        <v>46675</v>
      </c>
      <c r="E23">
        <f>DATEDIF(C23,D23,"Y")</f>
        <v>1</v>
      </c>
      <c r="F23" s="19" t="s">
        <v>546</v>
      </c>
      <c r="J23">
        <f>DATEDIF(C23,D23,"d")</f>
        <v>385</v>
      </c>
    </row>
    <row r="24" spans="1:10">
      <c r="A24" s="19"/>
      <c r="B24" s="20" t="s">
        <v>547</v>
      </c>
      <c r="C24" s="25">
        <v>46290</v>
      </c>
      <c r="D24" s="25">
        <v>46371</v>
      </c>
      <c r="E24">
        <f>DATEDIF(C24,D24,"m")</f>
        <v>2</v>
      </c>
      <c r="F24" s="19" t="s">
        <v>548</v>
      </c>
    </row>
    <row r="25" spans="1:10">
      <c r="A25" s="19"/>
      <c r="B25" s="20" t="s">
        <v>549</v>
      </c>
      <c r="C25" s="25">
        <v>46290</v>
      </c>
      <c r="D25" s="25">
        <v>46310</v>
      </c>
      <c r="E25">
        <f>DATEDIF(C25,D25,"d")</f>
        <v>20</v>
      </c>
      <c r="F25" s="19" t="s">
        <v>550</v>
      </c>
    </row>
    <row r="26" spans="1:10">
      <c r="A26" s="19" t="s">
        <v>551</v>
      </c>
      <c r="B26" s="20" t="s">
        <v>552</v>
      </c>
      <c r="C26" s="25">
        <v>46290</v>
      </c>
      <c r="D26" s="25">
        <v>46310</v>
      </c>
      <c r="E26">
        <f>_xlfn.DAYS(D26,C26)</f>
        <v>20</v>
      </c>
      <c r="F26" s="19" t="s">
        <v>553</v>
      </c>
    </row>
    <row r="27" spans="1:10">
      <c r="A27" s="19" t="s">
        <v>554</v>
      </c>
      <c r="B27" s="20" t="s">
        <v>555</v>
      </c>
      <c r="C27" s="25">
        <v>46290</v>
      </c>
      <c r="D27" s="25">
        <v>46310</v>
      </c>
      <c r="E27">
        <f>NETWORKDAYS(C27,D27)</f>
        <v>15</v>
      </c>
      <c r="F27" s="19" t="s">
        <v>556</v>
      </c>
    </row>
    <row r="28" spans="1:10">
      <c r="A28" s="19"/>
      <c r="B28" s="20" t="s">
        <v>557</v>
      </c>
      <c r="C28" s="25">
        <v>46290</v>
      </c>
      <c r="D28" s="25">
        <v>46310</v>
      </c>
      <c r="E28">
        <f>_xlfn.NETWORKDAYS.INTL(C28,D28,11)</f>
        <v>18</v>
      </c>
      <c r="F28" s="19" t="s">
        <v>558</v>
      </c>
    </row>
    <row r="29" spans="1:10">
      <c r="A29" s="19" t="s">
        <v>559</v>
      </c>
      <c r="B29" s="20" t="s">
        <v>560</v>
      </c>
      <c r="C29" s="25">
        <v>46290</v>
      </c>
      <c r="D29" s="25">
        <v>46310</v>
      </c>
    </row>
    <row r="30" spans="1:10">
      <c r="A30" s="19" t="s">
        <v>561</v>
      </c>
      <c r="B30" s="20" t="s">
        <v>562</v>
      </c>
      <c r="C30" s="25">
        <v>46290</v>
      </c>
      <c r="D30" s="25">
        <v>46310</v>
      </c>
      <c r="E30">
        <f>YEARFRAC(C30,D30)</f>
        <v>0.0555555555555556</v>
      </c>
    </row>
    <row r="32" spans="1:10">
      <c r="A32" s="20" t="s">
        <v>563</v>
      </c>
    </row>
    <row r="33" spans="1:8">
      <c r="A33" s="20" t="s">
        <v>564</v>
      </c>
      <c r="B33" s="19" t="s">
        <v>565</v>
      </c>
      <c r="C33" s="11">
        <v>46290</v>
      </c>
      <c r="D33" s="11">
        <f>EDATE(C33,3)</f>
        <v>46381</v>
      </c>
      <c r="E33" s="11">
        <f>EDATE(D33,-3)</f>
        <v>46290</v>
      </c>
      <c r="G33" s="11">
        <f>EDATE(C33,5)</f>
        <v>46443</v>
      </c>
      <c r="H33" s="11">
        <f>EDATE(C33,-5)</f>
        <v>46137</v>
      </c>
    </row>
    <row r="34" spans="1:8">
      <c r="A34">
        <v>0</v>
      </c>
      <c r="B34" s="19" t="s">
        <v>566</v>
      </c>
      <c r="C34" s="11">
        <f>EOMONTH(C33,3)</f>
        <v>46387</v>
      </c>
    </row>
    <row r="35" spans="1:8">
      <c r="B35" t="s">
        <v>567</v>
      </c>
      <c r="C35">
        <f>WORKDAY(C33,5)</f>
        <v>46297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rawdata</vt:lpstr>
      <vt:lpstr>lookup</vt:lpstr>
      <vt:lpstr>index and match</vt:lpstr>
      <vt:lpstr>Sheet1</vt:lpstr>
      <vt:lpstr>Pivot</vt:lpstr>
      <vt:lpstr>data validation</vt:lpstr>
      <vt:lpstr>filter</vt:lpstr>
      <vt:lpstr>link</vt:lpstr>
      <vt:lpstr>text</vt:lpstr>
      <vt:lpstr>datetime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 Maruthaiyan</dc:creator>
  <cp:lastModifiedBy>DELL</cp:lastModifiedBy>
  <dcterms:created xsi:type="dcterms:W3CDTF">2026-09-23T05:40:00Z</dcterms:created>
  <dcterms:modified xsi:type="dcterms:W3CDTF">2026-10-14T11:14:13Z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FCF1F7263BDB4A88A92E379023F263D6_12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